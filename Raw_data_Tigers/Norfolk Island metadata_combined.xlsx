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inders-my.sharepoint.com/personal/huve0001_flinders_edu_au/Documents/Documents/Students-projects/5b. Post-doc/Lauren Meyer/Norfolk Island project/"/>
    </mc:Choice>
  </mc:AlternateContent>
  <xr:revisionPtr revIDLastSave="32" documentId="13_ncr:1_{40493DAF-203E-4C54-B1B3-5138E7606393}" xr6:coauthVersionLast="47" xr6:coauthVersionMax="47" xr10:uidLastSave="{5B150CBB-D324-44A0-AB5B-59A08FDE067D}"/>
  <bookViews>
    <workbookView xWindow="-98" yWindow="-98" windowWidth="21795" windowHeight="13996" xr2:uid="{1FAE25BA-A102-4D95-9487-CC7DD8E40929}"/>
  </bookViews>
  <sheets>
    <sheet name="Tiger sharks" sheetId="1" r:id="rId1"/>
    <sheet name="Dusky.Galap.sandbar" sheetId="3" r:id="rId2"/>
  </sheets>
  <definedNames>
    <definedName name="_xlnm._FilterDatabase" localSheetId="1" hidden="1">'Dusky.Galap.sandbar'!$A$1:$U$167</definedName>
    <definedName name="_xlnm._FilterDatabase" localSheetId="0" hidden="1">'Tiger sharks'!$A$1:$Y$103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2" i="1" l="1"/>
  <c r="B111" i="1"/>
  <c r="B110" i="1"/>
  <c r="B109" i="1"/>
  <c r="B108" i="1"/>
  <c r="B107" i="1"/>
  <c r="B106" i="1"/>
  <c r="B105" i="1"/>
  <c r="B104" i="1"/>
  <c r="J82" i="3"/>
  <c r="B103" i="1"/>
  <c r="B102" i="1"/>
  <c r="B97" i="1"/>
  <c r="B98" i="1"/>
  <c r="B99" i="1"/>
  <c r="B100" i="1"/>
  <c r="B101" i="1"/>
  <c r="B92" i="1"/>
  <c r="B93" i="1"/>
  <c r="B94" i="1"/>
  <c r="B95" i="1"/>
  <c r="B96" i="1"/>
  <c r="B9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2" i="1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K7" i="1"/>
  <c r="K5" i="1"/>
  <c r="K3" i="1"/>
</calcChain>
</file>

<file path=xl/sharedStrings.xml><?xml version="1.0" encoding="utf-8"?>
<sst xmlns="http://schemas.openxmlformats.org/spreadsheetml/2006/main" count="1784" uniqueCount="618">
  <si>
    <t>Date</t>
  </si>
  <si>
    <t>Location</t>
  </si>
  <si>
    <t>Names</t>
  </si>
  <si>
    <t>sample ID</t>
  </si>
  <si>
    <t>Species</t>
  </si>
  <si>
    <t>Sex</t>
  </si>
  <si>
    <t>FL</t>
  </si>
  <si>
    <t>TL</t>
  </si>
  <si>
    <t>Roto tag ID</t>
  </si>
  <si>
    <t>Sat tag</t>
  </si>
  <si>
    <t>Accoustic tag</t>
  </si>
  <si>
    <t>Time on hook</t>
  </si>
  <si>
    <t>Time bringing in</t>
  </si>
  <si>
    <t>Time released</t>
  </si>
  <si>
    <t>Release condition</t>
  </si>
  <si>
    <t>Notes</t>
  </si>
  <si>
    <t>Headstone Bay, Norfolk Island</t>
  </si>
  <si>
    <t>NFI - 60</t>
  </si>
  <si>
    <t>Tiger shark</t>
  </si>
  <si>
    <t>NFI - 61</t>
  </si>
  <si>
    <t>F</t>
  </si>
  <si>
    <t>Time when tried to secure</t>
  </si>
  <si>
    <t>NFI - 62</t>
  </si>
  <si>
    <t>NFI - 63</t>
  </si>
  <si>
    <t>NFI - 64</t>
  </si>
  <si>
    <t>NFI - 65</t>
  </si>
  <si>
    <t>M</t>
  </si>
  <si>
    <t>BIA</t>
  </si>
  <si>
    <t>813, 814, 815</t>
  </si>
  <si>
    <t>816, 817, 818</t>
  </si>
  <si>
    <t>819, 820, 821</t>
  </si>
  <si>
    <t>822, 823, 824</t>
  </si>
  <si>
    <t>Spewed bird. No sat tag. No skin/gill swabs. Medium amount of blood coming from the gills.</t>
  </si>
  <si>
    <t>Blood time</t>
  </si>
  <si>
    <t xml:space="preserve">Kingston </t>
  </si>
  <si>
    <t>NP 557</t>
  </si>
  <si>
    <t>NP558</t>
  </si>
  <si>
    <t>NP559</t>
  </si>
  <si>
    <t>NP600</t>
  </si>
  <si>
    <t>Dusky</t>
  </si>
  <si>
    <t>Galapagos</t>
  </si>
  <si>
    <t>No roto tags</t>
  </si>
  <si>
    <t>824, 825, 826</t>
  </si>
  <si>
    <t>827, 828, 829</t>
  </si>
  <si>
    <t>830, 831, 832</t>
  </si>
  <si>
    <t>833, 834, 835</t>
  </si>
  <si>
    <t>Landed</t>
  </si>
  <si>
    <t>NP601</t>
  </si>
  <si>
    <t>NP602</t>
  </si>
  <si>
    <t>NP603</t>
  </si>
  <si>
    <t>NP604</t>
  </si>
  <si>
    <t>NP605</t>
  </si>
  <si>
    <t>NP606</t>
  </si>
  <si>
    <t>NP607</t>
  </si>
  <si>
    <t>849, 850, 851</t>
  </si>
  <si>
    <t>852, 853, 854</t>
  </si>
  <si>
    <t>855, 856, 857</t>
  </si>
  <si>
    <t>858, 859, 860</t>
  </si>
  <si>
    <t>861, 862, 863</t>
  </si>
  <si>
    <t>864, 865, 866</t>
  </si>
  <si>
    <t>867, 868, 869</t>
  </si>
  <si>
    <t>blood clotted, no plasma. Fat looking, very wide shark</t>
  </si>
  <si>
    <t>NFI - 66</t>
  </si>
  <si>
    <t>NFI - 67</t>
  </si>
  <si>
    <t>NFI - 68</t>
  </si>
  <si>
    <t>NFI - 69</t>
  </si>
  <si>
    <t>NFI - 70</t>
  </si>
  <si>
    <t>870, 871, 872</t>
  </si>
  <si>
    <t>873, 874, 875</t>
  </si>
  <si>
    <t>876, 877, 878</t>
  </si>
  <si>
    <t>879, 880, 881</t>
  </si>
  <si>
    <t>wrapped up for 3 min. no blood</t>
  </si>
  <si>
    <t>NFI - 71</t>
  </si>
  <si>
    <t>NFI - 72</t>
  </si>
  <si>
    <t>NFI - 73</t>
  </si>
  <si>
    <t>NFI - 74</t>
  </si>
  <si>
    <t>NFI - 75</t>
  </si>
  <si>
    <t>NFI - 76</t>
  </si>
  <si>
    <t>NFI - 77</t>
  </si>
  <si>
    <t>NFI - 78</t>
  </si>
  <si>
    <t>4 parasites collected. Slightly floppy fin</t>
  </si>
  <si>
    <t xml:space="preserve">slight bleeding from the gills. Medium amount of bleeding at the boat. Spewed mutton bird feathers. No tag. </t>
  </si>
  <si>
    <t>884, 885, 886</t>
  </si>
  <si>
    <t>887, 888, 889, 891</t>
  </si>
  <si>
    <t>892, 893, 894</t>
  </si>
  <si>
    <t>895, 896, 897, 898</t>
  </si>
  <si>
    <t>0-1</t>
  </si>
  <si>
    <t xml:space="preserve">spewed feathers. Lots of thrashing around. No gill microbiome. Water control instead. Shark flipped belly up upon release. May have righted itself once much deeper. </t>
  </si>
  <si>
    <t xml:space="preserve">15:07* </t>
  </si>
  <si>
    <t>*noticed it was on at 15:07, could have already been on for up to 15 minutes</t>
  </si>
  <si>
    <t>hook in throat</t>
  </si>
  <si>
    <t>didn't fight much. No sat tag due to slight bleeding</t>
  </si>
  <si>
    <t>potential old external tag from Riley Elliot. Tag slightly low.</t>
  </si>
  <si>
    <t>potential recapture based on nip missing on anal fin. potential organ nick when use scalpel. Slightly floppy fin.</t>
  </si>
  <si>
    <t>blood taken after the sat tag. very fat shark. TL = straight</t>
  </si>
  <si>
    <t>CH measured</t>
  </si>
  <si>
    <t>MS measured</t>
  </si>
  <si>
    <t>-</t>
  </si>
  <si>
    <t>NFI - 79</t>
  </si>
  <si>
    <t>NFI - 80</t>
  </si>
  <si>
    <t>901, 902, 903</t>
  </si>
  <si>
    <t>905, 906, 907</t>
  </si>
  <si>
    <t>thrashed at boat a medium amount, no swabs taken</t>
  </si>
  <si>
    <t>F.O. tube</t>
  </si>
  <si>
    <t>4.2 (4.5)</t>
  </si>
  <si>
    <t xml:space="preserve">measured at 3.17 m TL but adjusted using 2021 FL-TL relationship. </t>
  </si>
  <si>
    <t xml:space="preserve">measured at 3.18 m TL but adjusted using 2021 FL-TL relationship. </t>
  </si>
  <si>
    <t xml:space="preserve">measured at 3.25 m TL but adjusted using 2021 FL-TL relationship. </t>
  </si>
  <si>
    <t>Cascade</t>
  </si>
  <si>
    <t>NFI - 81</t>
  </si>
  <si>
    <t>NFI - 82</t>
  </si>
  <si>
    <t>NFI - 83</t>
  </si>
  <si>
    <t>NFI - 84</t>
  </si>
  <si>
    <t>908, 909, 910</t>
  </si>
  <si>
    <t>pH</t>
  </si>
  <si>
    <t>small shark</t>
  </si>
  <si>
    <t>913, 914, 915</t>
  </si>
  <si>
    <t>916, 917, 918</t>
  </si>
  <si>
    <t>919, 920. 921</t>
  </si>
  <si>
    <t>NP608</t>
  </si>
  <si>
    <t>NP609</t>
  </si>
  <si>
    <t>NP610</t>
  </si>
  <si>
    <t>NP611</t>
  </si>
  <si>
    <t>NP612</t>
  </si>
  <si>
    <t>NP613*</t>
  </si>
  <si>
    <t>NP614*</t>
  </si>
  <si>
    <t xml:space="preserve">hook through gills from previous day. Had three hooks, we removed two. The one it was captured on needed the wire cut. </t>
  </si>
  <si>
    <t xml:space="preserve">spewed up a whole mutton bird. </t>
  </si>
  <si>
    <t>14:35 (time we noticed, unsure of if the shark was on the hook from before)</t>
  </si>
  <si>
    <t>928, 929, 930</t>
  </si>
  <si>
    <t>931, 932, 933</t>
  </si>
  <si>
    <t>934, 935, 936</t>
  </si>
  <si>
    <t>937, 938, 939</t>
  </si>
  <si>
    <t>942, 943, 944</t>
  </si>
  <si>
    <t>922, 923, 924</t>
  </si>
  <si>
    <t>925, 926, 927</t>
  </si>
  <si>
    <t>measurer</t>
  </si>
  <si>
    <t>Time landed</t>
  </si>
  <si>
    <t>Spag. tag ID</t>
  </si>
  <si>
    <t>in bag 606</t>
  </si>
  <si>
    <t>in bag 607</t>
  </si>
  <si>
    <t>measured natural TL due to rope being in the way, so might be longer than 2.93.</t>
  </si>
  <si>
    <t>Kimmy</t>
  </si>
  <si>
    <t>Tinka</t>
  </si>
  <si>
    <t>Jens</t>
  </si>
  <si>
    <t>Theodosia</t>
  </si>
  <si>
    <t>Suki</t>
  </si>
  <si>
    <t>Jess</t>
  </si>
  <si>
    <t>Nate</t>
  </si>
  <si>
    <t>Lacky</t>
  </si>
  <si>
    <t>Aatuti</t>
  </si>
  <si>
    <t>Birgit</t>
  </si>
  <si>
    <t>Robert</t>
  </si>
  <si>
    <t>Sharky McShark Face</t>
  </si>
  <si>
    <t>Tigger</t>
  </si>
  <si>
    <t>Rocket</t>
  </si>
  <si>
    <t>Ali-Bel</t>
  </si>
  <si>
    <t>PCL</t>
  </si>
  <si>
    <t>No blood, biopsy, or microbiome</t>
  </si>
  <si>
    <t>No biopsy, was naturally flushed by wave on step</t>
  </si>
  <si>
    <t>No biopsy</t>
  </si>
  <si>
    <t>Got everything</t>
  </si>
  <si>
    <t>No blood</t>
  </si>
  <si>
    <t>Kingston pier</t>
  </si>
  <si>
    <t>NP - 518</t>
  </si>
  <si>
    <t>NP - 519</t>
  </si>
  <si>
    <t>NP - 520</t>
  </si>
  <si>
    <t>Hybrid?</t>
  </si>
  <si>
    <t>NP - 521</t>
  </si>
  <si>
    <t>NP - 522</t>
  </si>
  <si>
    <t>NP - 523</t>
  </si>
  <si>
    <t>NP - 524</t>
  </si>
  <si>
    <t>NP - 525</t>
  </si>
  <si>
    <t>NP - 526</t>
  </si>
  <si>
    <t>NP - 527</t>
  </si>
  <si>
    <t>Headstone Bay</t>
  </si>
  <si>
    <t>NP - 528</t>
  </si>
  <si>
    <t>No roto</t>
  </si>
  <si>
    <t>NP - 529</t>
  </si>
  <si>
    <t>NP - 530</t>
  </si>
  <si>
    <t>NP - 531</t>
  </si>
  <si>
    <t>NP - 532</t>
  </si>
  <si>
    <t>NP - 533</t>
  </si>
  <si>
    <t>NP - 534</t>
  </si>
  <si>
    <t>NP - 535</t>
  </si>
  <si>
    <t>NP - 536</t>
  </si>
  <si>
    <t>NP - 537</t>
  </si>
  <si>
    <t>NP - 538</t>
  </si>
  <si>
    <t>NP - 539</t>
  </si>
  <si>
    <t>NP - 540</t>
  </si>
  <si>
    <t>NP - 545</t>
  </si>
  <si>
    <t>Headstone bay</t>
  </si>
  <si>
    <t>NP - 546</t>
  </si>
  <si>
    <t>NP - 547</t>
  </si>
  <si>
    <t>28243, 1146573</t>
  </si>
  <si>
    <t>NP - 548</t>
  </si>
  <si>
    <t>25787, 1173123</t>
  </si>
  <si>
    <t>NP - 550</t>
  </si>
  <si>
    <t>28244, 1146574</t>
  </si>
  <si>
    <t>NP - 551</t>
  </si>
  <si>
    <t>25788, 1173124</t>
  </si>
  <si>
    <t>NP - 552</t>
  </si>
  <si>
    <t>28242, 1146572</t>
  </si>
  <si>
    <t>NP - 553</t>
  </si>
  <si>
    <t xml:space="preserve">28259, 1145804 </t>
  </si>
  <si>
    <t>NP - 554</t>
  </si>
  <si>
    <t>28241, 1146571</t>
  </si>
  <si>
    <t>NP - 555</t>
  </si>
  <si>
    <t>28257, 1145806</t>
  </si>
  <si>
    <t>NP - 556</t>
  </si>
  <si>
    <t>25786, 1173122</t>
  </si>
  <si>
    <t>Swam into the rocks then pushed back to sea</t>
  </si>
  <si>
    <t>No blood or roto tag</t>
  </si>
  <si>
    <t>Organs hanging out of wound</t>
  </si>
  <si>
    <t>no suppersucker no microbiome</t>
  </si>
  <si>
    <t>Left pec fin bit off</t>
  </si>
  <si>
    <t>upper lobe missing</t>
  </si>
  <si>
    <t>Blood and genetics only</t>
  </si>
  <si>
    <t>Genetics only</t>
  </si>
  <si>
    <t>Lost shark</t>
  </si>
  <si>
    <t>U</t>
  </si>
  <si>
    <t>~3.8</t>
  </si>
  <si>
    <t>Geoff</t>
  </si>
  <si>
    <t>NFI - 32</t>
  </si>
  <si>
    <t>Meg</t>
  </si>
  <si>
    <t>NFI - 33</t>
  </si>
  <si>
    <t>Freidi</t>
  </si>
  <si>
    <t>NFI - 34</t>
  </si>
  <si>
    <t>Nehsi</t>
  </si>
  <si>
    <t>NFI - 35</t>
  </si>
  <si>
    <t>~4</t>
  </si>
  <si>
    <t>Isla Belle</t>
  </si>
  <si>
    <t>NFI - 36</t>
  </si>
  <si>
    <t>Jap</t>
  </si>
  <si>
    <t>NFI - 37</t>
  </si>
  <si>
    <t>Scotty 2</t>
  </si>
  <si>
    <t>NFI - 38</t>
  </si>
  <si>
    <t>Nomad</t>
  </si>
  <si>
    <t>NFI - 39</t>
  </si>
  <si>
    <t>Philip</t>
  </si>
  <si>
    <t>NFI - 40</t>
  </si>
  <si>
    <t>Nepean</t>
  </si>
  <si>
    <t>NFI - 41</t>
  </si>
  <si>
    <t xml:space="preserve">Lost shark </t>
  </si>
  <si>
    <t xml:space="preserve">Tiger shark </t>
  </si>
  <si>
    <t>NFI - 42</t>
  </si>
  <si>
    <t>NFI - 32 recap (roto tag #1)</t>
  </si>
  <si>
    <t>NFI - 43</t>
  </si>
  <si>
    <t>forgot</t>
  </si>
  <si>
    <t>NFI - 44</t>
  </si>
  <si>
    <t>NFI - 45</t>
  </si>
  <si>
    <t>Fin Fin</t>
  </si>
  <si>
    <t>F ?</t>
  </si>
  <si>
    <t>NFI - 46</t>
  </si>
  <si>
    <t>broken lobe (4.1-4.2)</t>
  </si>
  <si>
    <t>NFI - 47</t>
  </si>
  <si>
    <t>broken lobe (3.42)</t>
  </si>
  <si>
    <t>NFI - 48</t>
  </si>
  <si>
    <t>NFI - 49</t>
  </si>
  <si>
    <t>NFI - 50</t>
  </si>
  <si>
    <t>NFI - 51</t>
  </si>
  <si>
    <t>NFI - 52</t>
  </si>
  <si>
    <t>NFI - 53</t>
  </si>
  <si>
    <t>4.17 (4.3)</t>
  </si>
  <si>
    <t>NFI - 54</t>
  </si>
  <si>
    <t>NFI - 55</t>
  </si>
  <si>
    <t>NFI - 56</t>
  </si>
  <si>
    <t>NFI - 57</t>
  </si>
  <si>
    <t>NFI - 58</t>
  </si>
  <si>
    <t>NFI - 59</t>
  </si>
  <si>
    <t>2:46 ish</t>
  </si>
  <si>
    <t>4</t>
  </si>
  <si>
    <t>3</t>
  </si>
  <si>
    <t>2.5</t>
  </si>
  <si>
    <t>1.5</t>
  </si>
  <si>
    <t>3.5</t>
  </si>
  <si>
    <t>2</t>
  </si>
  <si>
    <t>4.5</t>
  </si>
  <si>
    <t>5</t>
  </si>
  <si>
    <t>Lost at 10:25</t>
  </si>
  <si>
    <t>Small amount of blood</t>
  </si>
  <si>
    <t xml:space="preserve">only 2 bolts, hook in throat, lost and rehooked, fiestier than 32. blood from the gills. </t>
  </si>
  <si>
    <t>2 hooks, bite on the L hand side. Skin and gill microbiome in the wrong tubes. 3 bolts tag</t>
  </si>
  <si>
    <t>stumpy tail, 3 bolt tag</t>
  </si>
  <si>
    <t>Fat female, lots of energy. Suspected preganacy</t>
  </si>
  <si>
    <t>skinny male</t>
  </si>
  <si>
    <t>Large very fat female, no muscle, no cloaca swabs, no genetics, X2 skin</t>
  </si>
  <si>
    <t>collected spew</t>
  </si>
  <si>
    <t xml:space="preserve">skinny and long </t>
  </si>
  <si>
    <t>no tag photo</t>
  </si>
  <si>
    <t>Trace slipped out</t>
  </si>
  <si>
    <t>tangled up, had to cut the rope and reattach.</t>
  </si>
  <si>
    <t>No injury or noticble hook from previous capture</t>
  </si>
  <si>
    <t>fattish cut dorsal, no roto tag</t>
  </si>
  <si>
    <t>slight bleed at the mouth</t>
  </si>
  <si>
    <t>Fin Fin and genetics</t>
  </si>
  <si>
    <t>uper lobe tip missing</t>
  </si>
  <si>
    <t>Lost hook, used the same hook to rehook. Smaller shark missing uper lobe.</t>
  </si>
  <si>
    <t>small amount of vomit (not collected)</t>
  </si>
  <si>
    <t>Wire cut under the crimps. Left hook in.</t>
  </si>
  <si>
    <t>Wire snapped, lost shark at 11:30</t>
  </si>
  <si>
    <t>filmed</t>
  </si>
  <si>
    <t>took the big float down a few times. Bleeding a lot out of a gash in the side of the head. Dave filmed. Upper caudual missing. Bleeding stopped after 5 minutes</t>
  </si>
  <si>
    <t>smaller shark, Left pec tip missing</t>
  </si>
  <si>
    <t>rope tangle at the start. Tip of caudal back top missing/ Left side big gash (2 microbiome samples taken, one from Liz and one for Lauren), curled upper dorsal</t>
  </si>
  <si>
    <t>Took a second to kick</t>
  </si>
  <si>
    <t>upper caudal missing. Wound not well closed. Parasites collected</t>
  </si>
  <si>
    <t>parasites</t>
  </si>
  <si>
    <t>a little blood from gills, end of cuadal missing. No blood or genetics</t>
  </si>
  <si>
    <t>dark copepods</t>
  </si>
  <si>
    <t>NFI - 1</t>
  </si>
  <si>
    <t>NFI - 2</t>
  </si>
  <si>
    <t>NFI - 3</t>
  </si>
  <si>
    <t>NFI - 4</t>
  </si>
  <si>
    <t>NA</t>
  </si>
  <si>
    <t>Headstone</t>
  </si>
  <si>
    <t>NFI - 5</t>
  </si>
  <si>
    <t>NFI - 6</t>
  </si>
  <si>
    <t xml:space="preserve">Cam- 1 </t>
  </si>
  <si>
    <t>NFI - 7</t>
  </si>
  <si>
    <t>NFI - 8</t>
  </si>
  <si>
    <t>NFI - 9</t>
  </si>
  <si>
    <t>NFI - 10</t>
  </si>
  <si>
    <t>NFI - 11</t>
  </si>
  <si>
    <t>NFI - 12</t>
  </si>
  <si>
    <t>NFI - 13</t>
  </si>
  <si>
    <t>NFI - 14</t>
  </si>
  <si>
    <t>NFI - 15</t>
  </si>
  <si>
    <t>NP - 500</t>
  </si>
  <si>
    <t>NP - 501</t>
  </si>
  <si>
    <t>NP - 502</t>
  </si>
  <si>
    <t>NP - 503</t>
  </si>
  <si>
    <t>NP - 504</t>
  </si>
  <si>
    <t>Tintoela</t>
  </si>
  <si>
    <t>NFI - 16</t>
  </si>
  <si>
    <t>Fitzy</t>
  </si>
  <si>
    <t>NFI - 17</t>
  </si>
  <si>
    <t>NFI - 505</t>
  </si>
  <si>
    <t>Norfolk</t>
  </si>
  <si>
    <t>NFI - 18</t>
  </si>
  <si>
    <t>MiaMiti</t>
  </si>
  <si>
    <t>NFI - 6 recap</t>
  </si>
  <si>
    <t>David</t>
  </si>
  <si>
    <t>NFI - 20</t>
  </si>
  <si>
    <t>Scotty</t>
  </si>
  <si>
    <t>NFI - 21</t>
  </si>
  <si>
    <t>NFI - 22</t>
  </si>
  <si>
    <t>NFI - 23</t>
  </si>
  <si>
    <t>NP-506</t>
  </si>
  <si>
    <t>Unsure (galap?)</t>
  </si>
  <si>
    <t>NP-507</t>
  </si>
  <si>
    <t>NP-508</t>
  </si>
  <si>
    <t>NP-509</t>
  </si>
  <si>
    <t>NP-510</t>
  </si>
  <si>
    <t>NP-511</t>
  </si>
  <si>
    <t>NP-512</t>
  </si>
  <si>
    <t>NP-513</t>
  </si>
  <si>
    <t>NP-514</t>
  </si>
  <si>
    <t>NP-515</t>
  </si>
  <si>
    <t>Koru</t>
  </si>
  <si>
    <t>NFI -24</t>
  </si>
  <si>
    <t>Emma</t>
  </si>
  <si>
    <t>NFI -25</t>
  </si>
  <si>
    <t>Fletcher</t>
  </si>
  <si>
    <t>NFI -26</t>
  </si>
  <si>
    <t>NFI -27</t>
  </si>
  <si>
    <t>NFI -28</t>
  </si>
  <si>
    <t>NFI -29</t>
  </si>
  <si>
    <t>NFI -30</t>
  </si>
  <si>
    <t>NP - 516</t>
  </si>
  <si>
    <t>NP- 517</t>
  </si>
  <si>
    <t>A69-9001-14241</t>
  </si>
  <si>
    <t>A69-9001-14243</t>
  </si>
  <si>
    <t>A69-9001-14249</t>
  </si>
  <si>
    <t>A69-9001-14256</t>
  </si>
  <si>
    <t>A69-9001-14257</t>
  </si>
  <si>
    <t>A69-9001-18739</t>
  </si>
  <si>
    <t>A69-9001-18742</t>
  </si>
  <si>
    <t>A69-9001-18747</t>
  </si>
  <si>
    <t>A69-9001-18766</t>
  </si>
  <si>
    <t>A69-9001-18793</t>
  </si>
  <si>
    <t>1 -</t>
  </si>
  <si>
    <t>Two tangled up together, the one that was caught had bites on the left belly and right jaw. Uncertain of if it survived as it sank upside down.</t>
  </si>
  <si>
    <t xml:space="preserve">depth 33 m </t>
  </si>
  <si>
    <t>Gills bleeding a fair amount once we arrived on the bouy</t>
  </si>
  <si>
    <t xml:space="preserve">Small shark caught with stomach inverted. </t>
  </si>
  <si>
    <t>perfectly hooked in corner of jaw</t>
  </si>
  <si>
    <t xml:space="preserve">perfectly hooked in corner of jaw. Dragged the floats out from headstone. Tried to neoprene bite -#s 41, 42, 43. </t>
  </si>
  <si>
    <t xml:space="preserve">tail wrapped,. Might have been slightly gut hooked. Camera put on the shark at 8:30 am. </t>
  </si>
  <si>
    <t>neoprene swabbed - 44, 45, 46. 45 fell on boat floor. Hard to get muscle</t>
  </si>
  <si>
    <t>2-</t>
  </si>
  <si>
    <t xml:space="preserve">roto tag may come off. Bleeding a lot through gills. </t>
  </si>
  <si>
    <t>Dorsal was sliced by trace. 30 minute fight. Fat lady. Swabbed 47, 48, 49</t>
  </si>
  <si>
    <t>s/n 1268699. Long fight as well. Swabbed 50, 51, 52</t>
  </si>
  <si>
    <t>2+</t>
  </si>
  <si>
    <t xml:space="preserve">Swabbed 53, 54, 55. cut off tag </t>
  </si>
  <si>
    <t>on at 8:30 am,</t>
  </si>
  <si>
    <t>long soak time</t>
  </si>
  <si>
    <t>tangled up around the tail, had to cut off the rope</t>
  </si>
  <si>
    <t>control swabs 92, 98. Missing upper lobe</t>
  </si>
  <si>
    <t>tail roped, spat the hook and almost lost the shark</t>
  </si>
  <si>
    <t xml:space="preserve">78, 79 - control swabs. Caught at 11:03. Released at 11:55. Hook nearly straightened. </t>
  </si>
  <si>
    <t xml:space="preserve">on the hook at 10:14, out at 10:59. Skinny male, fought @ capture. Ripped through jaw with blood out of gills. </t>
  </si>
  <si>
    <t xml:space="preserve">on line - 2:02, next to boat at 2:22, out at 2:41. </t>
  </si>
  <si>
    <t>2:11 hooked, 2:55 off. Name Emma</t>
  </si>
  <si>
    <t>No blood. Unsure of sp. Either dusky or galap</t>
  </si>
  <si>
    <t>No fin clip</t>
  </si>
  <si>
    <t>Two fin clips</t>
  </si>
  <si>
    <t xml:space="preserve">on at 12:35, at the boat at 1:01, off at 1:19. Started hualing at 12:47. Curled tail. </t>
  </si>
  <si>
    <t>on at 1:50, to the boat at 2:06, off at 2:28</t>
  </si>
  <si>
    <t xml:space="preserve">on at 3:26, off at 4:11. Large spot attached. </t>
  </si>
  <si>
    <t>On at 4:48 off at 5:06</t>
  </si>
  <si>
    <t>On at 12:06, to the boat at 12:26 and 12:34. Gut/gill hooked. CH took a video of the release</t>
  </si>
  <si>
    <t>On at 1:01, to the boat at 1:18 off at 1:36. No blood. Slow glide down</t>
  </si>
  <si>
    <t>On at 3:00, to the boat at 3:11, off at 3:25</t>
  </si>
  <si>
    <t>Year</t>
  </si>
  <si>
    <t>Tagged by Mark Scott</t>
  </si>
  <si>
    <t>NFI-90</t>
  </si>
  <si>
    <t>NFI-91</t>
  </si>
  <si>
    <t>NFI-92</t>
  </si>
  <si>
    <t>NFI-93</t>
  </si>
  <si>
    <t>NFI-94</t>
  </si>
  <si>
    <t>NP-712</t>
  </si>
  <si>
    <t>NP-713</t>
  </si>
  <si>
    <t>NFI-95</t>
  </si>
  <si>
    <t>SP0262</t>
  </si>
  <si>
    <t>1028,1029,1030</t>
  </si>
  <si>
    <t>1025,1026,1027</t>
  </si>
  <si>
    <t>1031,1032,1033</t>
  </si>
  <si>
    <t>1034,1035,1036</t>
  </si>
  <si>
    <t>1037,1038,1039</t>
  </si>
  <si>
    <t>1043,1044,1045</t>
  </si>
  <si>
    <t>Time of bait in</t>
  </si>
  <si>
    <t>Old tag RHS (maybe Qld shark program?)</t>
  </si>
  <si>
    <t>Bite marks, fighty, ultrasound</t>
  </si>
  <si>
    <t>Munty, super skinny due to broken jaws, ultrasound</t>
  </si>
  <si>
    <t>Held on the bite force for ~3 mins upon release</t>
  </si>
  <si>
    <t>Sat tagged in previous years (probably Koru), Curly tail (lower caudal)</t>
  </si>
  <si>
    <t>inverted stomach out of mouth when pulling in. Quite fat/round, how was in mouth and had to cut wire</t>
  </si>
  <si>
    <t>1040,1041,1042</t>
  </si>
  <si>
    <t>Caught on Mark's small fishing rod</t>
  </si>
  <si>
    <t>Parasite, ultrasound</t>
  </si>
  <si>
    <t>Phillip Island</t>
  </si>
  <si>
    <t>NP 700</t>
  </si>
  <si>
    <t>Sandbar</t>
  </si>
  <si>
    <t>989, 990, 991</t>
  </si>
  <si>
    <t>NP 701</t>
  </si>
  <si>
    <t>992, 993, 994</t>
  </si>
  <si>
    <t>NP 702</t>
  </si>
  <si>
    <t>995, 996, 997</t>
  </si>
  <si>
    <t>no swabs</t>
  </si>
  <si>
    <t>NP 703</t>
  </si>
  <si>
    <t>998, 999, 1000</t>
  </si>
  <si>
    <t>3 - 4</t>
  </si>
  <si>
    <t>NP 704</t>
  </si>
  <si>
    <t>1001, 1002, 1003</t>
  </si>
  <si>
    <t>NP 705</t>
  </si>
  <si>
    <t>1004, 1005, 1006</t>
  </si>
  <si>
    <t>NP 706</t>
  </si>
  <si>
    <t>1007, 1008, 1009</t>
  </si>
  <si>
    <t>NP 707</t>
  </si>
  <si>
    <t>1010, 1011, 1012</t>
  </si>
  <si>
    <t>4 - 5</t>
  </si>
  <si>
    <t>NP 708</t>
  </si>
  <si>
    <t>1013, 1014, 1015</t>
  </si>
  <si>
    <t>NP 709</t>
  </si>
  <si>
    <t>1016, 1017, 1018</t>
  </si>
  <si>
    <t>NP 710</t>
  </si>
  <si>
    <t>no tag</t>
  </si>
  <si>
    <t>1019, 1020, 1021</t>
  </si>
  <si>
    <t>NP 711</t>
  </si>
  <si>
    <t>1022, 1023, 1024</t>
  </si>
  <si>
    <t>15:10 on the boat. Took time in the water to get the pump working.</t>
  </si>
  <si>
    <t>possible internal nick. Total length may not be accurate</t>
  </si>
  <si>
    <t>Kingston</t>
  </si>
  <si>
    <t>NP-714</t>
  </si>
  <si>
    <t>NP-715</t>
  </si>
  <si>
    <t>NP-716</t>
  </si>
  <si>
    <t>NP-717</t>
  </si>
  <si>
    <t>NP-718</t>
  </si>
  <si>
    <t>NP-719</t>
  </si>
  <si>
    <t>NP-720</t>
  </si>
  <si>
    <t>NP-721</t>
  </si>
  <si>
    <t>NP-722</t>
  </si>
  <si>
    <t>NP-723</t>
  </si>
  <si>
    <t>NP-724</t>
  </si>
  <si>
    <t>1068, 1069, 1070</t>
  </si>
  <si>
    <t>1071, 1072, 1073</t>
  </si>
  <si>
    <t>1074, 1075, 1076</t>
  </si>
  <si>
    <t>1077, 1078, 1079</t>
  </si>
  <si>
    <t>1080, 1081, 1082</t>
  </si>
  <si>
    <t>1083, 1084, 1085</t>
  </si>
  <si>
    <t>1086, 1087, 1088</t>
  </si>
  <si>
    <t>1089, 1090, 1091</t>
  </si>
  <si>
    <t>1092, 1093, 1094</t>
  </si>
  <si>
    <t>1095, 1096, 1097</t>
  </si>
  <si>
    <t>Stomach everted</t>
  </si>
  <si>
    <t>NFI-96</t>
  </si>
  <si>
    <t>NFI-97</t>
  </si>
  <si>
    <t>NFI-98</t>
  </si>
  <si>
    <t>NFI-100</t>
  </si>
  <si>
    <t>NFI-99</t>
  </si>
  <si>
    <t>1046, 1047, 1048</t>
  </si>
  <si>
    <t>1049, 1050, 1051</t>
  </si>
  <si>
    <t>1052, 1053, 1054</t>
  </si>
  <si>
    <t>1065, 1066, 1067</t>
  </si>
  <si>
    <t>Recaptured from 2022, dorsal fin skin had grown over tag</t>
  </si>
  <si>
    <t>Recaptured from 2022, dorsal fin skin had started to grow over tag</t>
  </si>
  <si>
    <t>Curled dorsal fin, external tag left over (wire)</t>
  </si>
  <si>
    <t>Bite force: 312 N, 368 N, 373 N</t>
  </si>
  <si>
    <t>Bite force: 353 N; Parasite on cloaca, skin lesions across the body, hooked jaw deformity but not as much as Munty</t>
  </si>
  <si>
    <t>NP-725</t>
  </si>
  <si>
    <t>NP-726</t>
  </si>
  <si>
    <t>NP-727</t>
  </si>
  <si>
    <t>NP-728</t>
  </si>
  <si>
    <t>NP-729</t>
  </si>
  <si>
    <t>NP-730</t>
  </si>
  <si>
    <t>NP-731</t>
  </si>
  <si>
    <t>NP-732</t>
  </si>
  <si>
    <t>NP-733</t>
  </si>
  <si>
    <t>NP-734</t>
  </si>
  <si>
    <t>NP-735</t>
  </si>
  <si>
    <t>NP-736</t>
  </si>
  <si>
    <t>NP-737</t>
  </si>
  <si>
    <t>NP-738</t>
  </si>
  <si>
    <t>NP-739</t>
  </si>
  <si>
    <t>NP-740</t>
  </si>
  <si>
    <t>NP-741</t>
  </si>
  <si>
    <t>NP-742</t>
  </si>
  <si>
    <t>1098, 1099, 1100</t>
  </si>
  <si>
    <t>1101, 1102, 1103</t>
  </si>
  <si>
    <t>1104, 1105, 1106</t>
  </si>
  <si>
    <t>1107, 1108, 1109</t>
  </si>
  <si>
    <t>1111, 1112, 1113</t>
  </si>
  <si>
    <t>1114, 1115, 1116</t>
  </si>
  <si>
    <t>1117, 1118, 1119</t>
  </si>
  <si>
    <t>1126, 1127, 1128</t>
  </si>
  <si>
    <t>1129, 1130, 1131</t>
  </si>
  <si>
    <t>1132, 1133, 1134</t>
  </si>
  <si>
    <t>1135, 1136, 1137</t>
  </si>
  <si>
    <t>1138, 1139, 1140</t>
  </si>
  <si>
    <t>1141, 1142, 1143</t>
  </si>
  <si>
    <t>1144, 1145, 1146</t>
  </si>
  <si>
    <t>1147, 1148, 1149</t>
  </si>
  <si>
    <t>1150, 1151, 1152</t>
  </si>
  <si>
    <t>1153, 1154, 1155</t>
  </si>
  <si>
    <t>Stomach slightly out</t>
  </si>
  <si>
    <t>One biggish bite on the body</t>
  </si>
  <si>
    <t>NFI-101</t>
  </si>
  <si>
    <t>NFI-102</t>
  </si>
  <si>
    <t>previously tagged</t>
  </si>
  <si>
    <t>Chloe measured</t>
  </si>
  <si>
    <t>old tag</t>
  </si>
  <si>
    <t>198177?</t>
  </si>
  <si>
    <t>1123, 1124, 1125</t>
  </si>
  <si>
    <t>Completely broken tag, remove the last couple of bolts, tail hooked so was a lot of work</t>
  </si>
  <si>
    <t>1120, 1121, 1122 in pin broke after here</t>
  </si>
  <si>
    <t>Recaptured from 2022, dorsal fin skin had started to grow over tag, bit of blood from gills, hook in oesophagus, stomach vomited out no significant content but a few feathers</t>
  </si>
  <si>
    <t>No microbiome, recaptured on the 20 January 2023</t>
  </si>
  <si>
    <t>NP-749</t>
  </si>
  <si>
    <t>NP-750</t>
  </si>
  <si>
    <t>NP-751</t>
  </si>
  <si>
    <t>1162, 1163, 1164</t>
  </si>
  <si>
    <t>1165, 1166, 1167</t>
  </si>
  <si>
    <t>1168, 1169, 1170</t>
  </si>
  <si>
    <t>upper caudal lobe cut-off</t>
  </si>
  <si>
    <t>NP-743</t>
  </si>
  <si>
    <t>NP-744</t>
  </si>
  <si>
    <t>NP-745</t>
  </si>
  <si>
    <t>NP-746</t>
  </si>
  <si>
    <t>NP-747</t>
  </si>
  <si>
    <t>NP-748</t>
  </si>
  <si>
    <t>Parasite</t>
  </si>
  <si>
    <t>held alongside boat</t>
  </si>
  <si>
    <t>1159, 1160, 1161</t>
  </si>
  <si>
    <t>1156, 1157, 1158</t>
  </si>
  <si>
    <t>15:??</t>
  </si>
  <si>
    <t>NP-752</t>
  </si>
  <si>
    <t>NP-753</t>
  </si>
  <si>
    <t>NP-754</t>
  </si>
  <si>
    <t>NP-755</t>
  </si>
  <si>
    <t>1171, 1172, 1173</t>
  </si>
  <si>
    <t>1174, 1175, 1176</t>
  </si>
  <si>
    <t>1179, 1180, 1181</t>
  </si>
  <si>
    <t>1182, 1183, 1184</t>
  </si>
  <si>
    <t>Acoustic S/N</t>
  </si>
  <si>
    <t>Acoustic_ID</t>
  </si>
  <si>
    <t>Stomach everted, bit of bleeding from gills, hook hard to remove</t>
  </si>
  <si>
    <t>NFI-103</t>
  </si>
  <si>
    <t>NFI-104</t>
  </si>
  <si>
    <t>NFI-105</t>
  </si>
  <si>
    <t>NFI-106</t>
  </si>
  <si>
    <t>CATS-cam</t>
  </si>
  <si>
    <t>Not landed</t>
  </si>
  <si>
    <t>CH estimated</t>
  </si>
  <si>
    <t>not landed</t>
  </si>
  <si>
    <t>Not landed and snapped at the wire</t>
  </si>
  <si>
    <t>0082</t>
  </si>
  <si>
    <t>0083</t>
  </si>
  <si>
    <t>0084</t>
  </si>
  <si>
    <t>0085</t>
  </si>
  <si>
    <t>0086</t>
  </si>
  <si>
    <t>0087</t>
  </si>
  <si>
    <t>0088</t>
  </si>
  <si>
    <t>~16:05</t>
  </si>
  <si>
    <t>3.5-4</t>
  </si>
  <si>
    <t>Tangled up and tailed roped 1st then belly rope. Hooked slipped out and was on the pectoral fin</t>
  </si>
  <si>
    <t>Big sat tag, bood spilt inside bag</t>
  </si>
  <si>
    <t xml:space="preserve">CATS-cam deployed while free-swimming next to cow, munted jaw small 3-3.3 m females </t>
  </si>
  <si>
    <t>Long T0 for blood</t>
  </si>
  <si>
    <t>too small to sat tag and had another shark on the line. Hook was just in mouth corner, cut at the wire (not hook)</t>
  </si>
  <si>
    <t xml:space="preserve">Riley Shark (metal external old acoustic tag already cut off)?  Hook in throat and but off as low as possible. Spent a bit of time on the line before we got to it as we had a double hook-up. Shark slightly tangled by the time we got there. </t>
  </si>
  <si>
    <t xml:space="preserve">Smallest shark, very cute. </t>
  </si>
  <si>
    <t>Hooked at 3,+N111+Y83+N111+Y83</t>
  </si>
  <si>
    <t>potentially, 63884</t>
  </si>
  <si>
    <t>NFI-107</t>
  </si>
  <si>
    <t>NFI-108</t>
  </si>
  <si>
    <t>NFI-109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</si>
</sst>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20" fontId="0" fillId="0" borderId="2" xfId="0" quotePrefix="1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0" borderId="2" xfId="1" applyNumberFormat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0" xfId="1" applyNumberFormat="1" applyFont="1"/>
    <xf numFmtId="0" fontId="0" fillId="0" borderId="0" xfId="1" applyNumberFormat="1" applyFont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0" xfId="0" applyNumberFormat="1"/>
    <xf numFmtId="0" fontId="0" fillId="0" borderId="3" xfId="0" applyBorder="1"/>
    <xf numFmtId="0" fontId="0" fillId="0" borderId="4" xfId="0" applyBorder="1"/>
    <xf numFmtId="3" fontId="0" fillId="0" borderId="2" xfId="0" quotePrefix="1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2" xfId="0" quotePrefix="1" applyBorder="1" applyAlignment="1">
      <alignment horizontal="left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609A-0090-40D9-9BEE-F9DCB0C3B13C}">
  <dimension ref="A1:Y112"/>
  <sheetViews>
    <sheetView tabSelected="1" zoomScale="82" zoomScaleNormal="110" workbookViewId="0">
      <pane ySplit="1" topLeftCell="A85" activePane="bottomLeft" state="frozen"/>
      <selection pane="bottomLeft" activeCell="C96" sqref="C96"/>
    </sheetView>
  </sheetViews>
  <sheetFormatPr defaultRowHeight="14.25" x14ac:dyDescent="0.45"/>
  <cols>
    <col min="1" max="1" width="11.265625" bestFit="1" customWidth="1"/>
    <col min="2" max="2" width="11.265625" style="20" customWidth="1"/>
    <col min="3" max="3" width="30.86328125" bestFit="1" customWidth="1"/>
    <col min="4" max="4" width="20.86328125" style="14" bestFit="1" customWidth="1"/>
    <col min="5" max="5" width="26.265625" style="14" bestFit="1" customWidth="1"/>
    <col min="6" max="6" width="13.73046875" style="14" bestFit="1" customWidth="1"/>
    <col min="7" max="7" width="10.1328125" style="14" bestFit="1" customWidth="1"/>
    <col min="8" max="8" width="16" style="14" bestFit="1" customWidth="1"/>
    <col min="9" max="9" width="16" style="14" customWidth="1"/>
    <col min="10" max="10" width="8.86328125" style="14" bestFit="1" customWidth="1"/>
    <col min="11" max="11" width="20.86328125" style="14" bestFit="1" customWidth="1"/>
    <col min="12" max="12" width="17.59765625" style="14" bestFit="1" customWidth="1"/>
    <col min="13" max="13" width="13.1328125" style="14" bestFit="1" customWidth="1"/>
    <col min="14" max="14" width="19" style="14" bestFit="1" customWidth="1"/>
    <col min="15" max="15" width="17" style="14" bestFit="1" customWidth="1"/>
    <col min="16" max="16" width="20.59765625" style="14" bestFit="1" customWidth="1"/>
    <col min="17" max="17" width="16" style="14" customWidth="1"/>
    <col min="18" max="18" width="18.19921875" style="14" customWidth="1"/>
    <col min="19" max="19" width="29.33203125" style="14" bestFit="1" customWidth="1"/>
    <col min="20" max="20" width="18.3984375" style="14" bestFit="1" customWidth="1"/>
    <col min="21" max="21" width="16.1328125" style="14" bestFit="1" customWidth="1"/>
    <col min="22" max="22" width="20.265625" style="14" bestFit="1" customWidth="1"/>
    <col min="23" max="23" width="23.86328125" style="14" bestFit="1" customWidth="1"/>
    <col min="24" max="24" width="9.3984375" bestFit="1" customWidth="1"/>
    <col min="25" max="25" width="165.3984375" bestFit="1" customWidth="1"/>
  </cols>
  <sheetData>
    <row r="1" spans="1:25" s="2" customFormat="1" ht="15.75" x14ac:dyDescent="0.5">
      <c r="A1" s="3" t="s">
        <v>0</v>
      </c>
      <c r="B1" s="17" t="s">
        <v>415</v>
      </c>
      <c r="C1" s="3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136</v>
      </c>
      <c r="I1" s="6" t="s">
        <v>157</v>
      </c>
      <c r="J1" s="6" t="s">
        <v>6</v>
      </c>
      <c r="K1" s="6" t="s">
        <v>7</v>
      </c>
      <c r="L1" s="6" t="s">
        <v>138</v>
      </c>
      <c r="M1" s="6" t="s">
        <v>9</v>
      </c>
      <c r="N1" s="6" t="s">
        <v>10</v>
      </c>
      <c r="O1" s="6" t="s">
        <v>27</v>
      </c>
      <c r="P1" s="6" t="s">
        <v>432</v>
      </c>
      <c r="Q1" s="6" t="s">
        <v>11</v>
      </c>
      <c r="R1" s="6" t="s">
        <v>12</v>
      </c>
      <c r="S1" s="6" t="s">
        <v>21</v>
      </c>
      <c r="T1" s="6" t="s">
        <v>137</v>
      </c>
      <c r="U1" s="7" t="s">
        <v>33</v>
      </c>
      <c r="V1" s="6" t="s">
        <v>13</v>
      </c>
      <c r="W1" s="6" t="s">
        <v>14</v>
      </c>
      <c r="X1" s="6" t="s">
        <v>114</v>
      </c>
      <c r="Y1" s="3" t="s">
        <v>15</v>
      </c>
    </row>
    <row r="2" spans="1:25" x14ac:dyDescent="0.45">
      <c r="A2" s="5">
        <v>44608</v>
      </c>
      <c r="B2" s="18">
        <f t="shared" ref="B2:B33" si="0">YEAR(A2)</f>
        <v>2022</v>
      </c>
      <c r="C2" s="4" t="s">
        <v>16</v>
      </c>
      <c r="D2" s="8" t="s">
        <v>142</v>
      </c>
      <c r="E2" s="8" t="s">
        <v>17</v>
      </c>
      <c r="F2" s="8" t="s">
        <v>18</v>
      </c>
      <c r="G2" s="8" t="s">
        <v>20</v>
      </c>
      <c r="H2" s="8" t="s">
        <v>96</v>
      </c>
      <c r="I2" s="8"/>
      <c r="J2" s="9">
        <v>3.3</v>
      </c>
      <c r="K2" s="9">
        <v>4</v>
      </c>
      <c r="L2" s="8">
        <v>201</v>
      </c>
      <c r="M2" s="8">
        <v>227990</v>
      </c>
      <c r="N2" s="8" t="s">
        <v>97</v>
      </c>
      <c r="O2" s="8" t="s">
        <v>97</v>
      </c>
      <c r="P2" s="10">
        <v>0.375</v>
      </c>
      <c r="Q2" s="10">
        <v>0.42499999999999999</v>
      </c>
      <c r="R2" s="10">
        <v>0.42638888888888887</v>
      </c>
      <c r="S2" s="10">
        <v>0.43055555555555558</v>
      </c>
      <c r="T2" s="10">
        <v>0.43194444444444446</v>
      </c>
      <c r="U2" s="8"/>
      <c r="V2" s="10">
        <v>0.44305555555555554</v>
      </c>
      <c r="W2" s="8">
        <v>2</v>
      </c>
      <c r="X2" s="8"/>
      <c r="Y2" s="4"/>
    </row>
    <row r="3" spans="1:25" x14ac:dyDescent="0.45">
      <c r="A3" s="5">
        <v>44608</v>
      </c>
      <c r="B3" s="18">
        <f t="shared" si="0"/>
        <v>2022</v>
      </c>
      <c r="C3" s="4" t="s">
        <v>16</v>
      </c>
      <c r="D3" s="8" t="s">
        <v>143</v>
      </c>
      <c r="E3" s="8" t="s">
        <v>19</v>
      </c>
      <c r="F3" s="8" t="s">
        <v>18</v>
      </c>
      <c r="G3" s="8" t="s">
        <v>20</v>
      </c>
      <c r="H3" s="8" t="s">
        <v>96</v>
      </c>
      <c r="I3" s="8"/>
      <c r="J3" s="9">
        <v>2.74</v>
      </c>
      <c r="K3" s="9">
        <f>J3*1.0061+0.6724</f>
        <v>3.4291140000000002</v>
      </c>
      <c r="L3" s="8">
        <v>202</v>
      </c>
      <c r="M3" s="8">
        <v>227991</v>
      </c>
      <c r="N3" s="8" t="s">
        <v>97</v>
      </c>
      <c r="O3" s="8" t="s">
        <v>97</v>
      </c>
      <c r="P3" s="10">
        <v>0.3756944444444445</v>
      </c>
      <c r="Q3" s="10">
        <v>0.48819444444444443</v>
      </c>
      <c r="R3" s="10">
        <v>0.4916666666666667</v>
      </c>
      <c r="S3" s="10">
        <v>0.49791666666666662</v>
      </c>
      <c r="T3" s="10">
        <v>0.49861111111111112</v>
      </c>
      <c r="U3" s="8"/>
      <c r="V3" s="10">
        <v>0.5083333333333333</v>
      </c>
      <c r="W3" s="8">
        <v>3</v>
      </c>
      <c r="X3" s="8"/>
      <c r="Y3" s="4" t="s">
        <v>106</v>
      </c>
    </row>
    <row r="4" spans="1:25" x14ac:dyDescent="0.45">
      <c r="A4" s="5">
        <v>44609</v>
      </c>
      <c r="B4" s="18">
        <f t="shared" si="0"/>
        <v>2022</v>
      </c>
      <c r="C4" s="4" t="s">
        <v>16</v>
      </c>
      <c r="D4" s="8"/>
      <c r="E4" s="8" t="s">
        <v>22</v>
      </c>
      <c r="F4" s="8" t="s">
        <v>18</v>
      </c>
      <c r="G4" s="8" t="s">
        <v>20</v>
      </c>
      <c r="H4" s="8" t="s">
        <v>96</v>
      </c>
      <c r="I4" s="8"/>
      <c r="J4" s="9">
        <v>3.62</v>
      </c>
      <c r="K4" s="9">
        <v>4.33</v>
      </c>
      <c r="L4" s="8">
        <v>203</v>
      </c>
      <c r="M4" s="8" t="s">
        <v>97</v>
      </c>
      <c r="N4" s="8" t="s">
        <v>97</v>
      </c>
      <c r="O4" s="8" t="s">
        <v>28</v>
      </c>
      <c r="P4" s="8"/>
      <c r="Q4" s="10">
        <v>0.41388888888888892</v>
      </c>
      <c r="R4" s="8"/>
      <c r="S4" s="8"/>
      <c r="T4" s="8"/>
      <c r="U4" s="8"/>
      <c r="V4" s="10">
        <v>0.44236111111111115</v>
      </c>
      <c r="W4" s="8">
        <v>1</v>
      </c>
      <c r="X4" s="8"/>
      <c r="Y4" s="4" t="s">
        <v>32</v>
      </c>
    </row>
    <row r="5" spans="1:25" x14ac:dyDescent="0.45">
      <c r="A5" s="5">
        <v>44609</v>
      </c>
      <c r="B5" s="18">
        <f t="shared" si="0"/>
        <v>2022</v>
      </c>
      <c r="C5" s="4" t="s">
        <v>16</v>
      </c>
      <c r="D5" s="8" t="s">
        <v>144</v>
      </c>
      <c r="E5" s="8" t="s">
        <v>23</v>
      </c>
      <c r="F5" s="8" t="s">
        <v>18</v>
      </c>
      <c r="G5" s="8" t="s">
        <v>26</v>
      </c>
      <c r="H5" s="8" t="s">
        <v>96</v>
      </c>
      <c r="I5" s="8"/>
      <c r="J5" s="9">
        <v>2.86</v>
      </c>
      <c r="K5" s="9">
        <f>J5*1.0061+0.6724</f>
        <v>3.5498460000000001</v>
      </c>
      <c r="L5" s="8">
        <v>204</v>
      </c>
      <c r="M5" s="8">
        <v>227992</v>
      </c>
      <c r="N5" s="8" t="s">
        <v>97</v>
      </c>
      <c r="O5" s="8" t="s">
        <v>29</v>
      </c>
      <c r="P5" s="8"/>
      <c r="Q5" s="10">
        <v>0.4604166666666667</v>
      </c>
      <c r="R5" s="8"/>
      <c r="S5" s="8"/>
      <c r="T5" s="8"/>
      <c r="U5" s="8"/>
      <c r="V5" s="10">
        <v>0.48402777777777778</v>
      </c>
      <c r="W5" s="8">
        <v>2</v>
      </c>
      <c r="X5" s="8"/>
      <c r="Y5" s="4" t="s">
        <v>107</v>
      </c>
    </row>
    <row r="6" spans="1:25" x14ac:dyDescent="0.45">
      <c r="A6" s="5">
        <v>44609</v>
      </c>
      <c r="B6" s="18">
        <f t="shared" si="0"/>
        <v>2022</v>
      </c>
      <c r="C6" s="4" t="s">
        <v>16</v>
      </c>
      <c r="D6" s="8" t="s">
        <v>145</v>
      </c>
      <c r="E6" s="8" t="s">
        <v>24</v>
      </c>
      <c r="F6" s="8" t="s">
        <v>18</v>
      </c>
      <c r="G6" s="8" t="s">
        <v>20</v>
      </c>
      <c r="H6" s="8" t="s">
        <v>96</v>
      </c>
      <c r="I6" s="8"/>
      <c r="J6" s="9">
        <v>3</v>
      </c>
      <c r="K6" s="9">
        <v>3.8</v>
      </c>
      <c r="L6" s="8">
        <v>205</v>
      </c>
      <c r="M6" s="8">
        <v>227993</v>
      </c>
      <c r="N6" s="8" t="s">
        <v>97</v>
      </c>
      <c r="O6" s="8" t="s">
        <v>30</v>
      </c>
      <c r="P6" s="8"/>
      <c r="Q6" s="10">
        <v>0.49027777777777781</v>
      </c>
      <c r="R6" s="8"/>
      <c r="S6" s="8"/>
      <c r="T6" s="8"/>
      <c r="U6" s="8"/>
      <c r="V6" s="10">
        <v>0.5180555555555556</v>
      </c>
      <c r="W6" s="8">
        <v>3</v>
      </c>
      <c r="X6" s="8"/>
      <c r="Y6" s="4"/>
    </row>
    <row r="7" spans="1:25" x14ac:dyDescent="0.45">
      <c r="A7" s="5">
        <v>44609</v>
      </c>
      <c r="B7" s="18">
        <f t="shared" si="0"/>
        <v>2022</v>
      </c>
      <c r="C7" s="4" t="s">
        <v>16</v>
      </c>
      <c r="D7" s="8" t="s">
        <v>146</v>
      </c>
      <c r="E7" s="8" t="s">
        <v>25</v>
      </c>
      <c r="F7" s="8" t="s">
        <v>18</v>
      </c>
      <c r="G7" s="8" t="s">
        <v>20</v>
      </c>
      <c r="H7" s="8" t="s">
        <v>96</v>
      </c>
      <c r="I7" s="8"/>
      <c r="J7" s="9">
        <v>3.1</v>
      </c>
      <c r="K7" s="9">
        <f>J7*1.0061+0.6724</f>
        <v>3.7913100000000002</v>
      </c>
      <c r="L7" s="8">
        <v>206</v>
      </c>
      <c r="M7" s="8">
        <v>227994</v>
      </c>
      <c r="N7" s="8" t="s">
        <v>97</v>
      </c>
      <c r="O7" s="8" t="s">
        <v>31</v>
      </c>
      <c r="P7" s="8"/>
      <c r="Q7" s="10">
        <v>0.50138888888888888</v>
      </c>
      <c r="R7" s="8"/>
      <c r="S7" s="8"/>
      <c r="T7" s="8"/>
      <c r="U7" s="8"/>
      <c r="V7" s="10">
        <v>0.54097222222222219</v>
      </c>
      <c r="W7" s="8">
        <v>2.5</v>
      </c>
      <c r="X7" s="8"/>
      <c r="Y7" s="4" t="s">
        <v>105</v>
      </c>
    </row>
    <row r="8" spans="1:25" x14ac:dyDescent="0.45">
      <c r="A8" s="5">
        <v>44613</v>
      </c>
      <c r="B8" s="18">
        <f t="shared" si="0"/>
        <v>2022</v>
      </c>
      <c r="C8" s="4" t="s">
        <v>16</v>
      </c>
      <c r="D8" s="8" t="s">
        <v>147</v>
      </c>
      <c r="E8" s="8" t="s">
        <v>62</v>
      </c>
      <c r="F8" s="8" t="s">
        <v>18</v>
      </c>
      <c r="G8" s="8" t="s">
        <v>20</v>
      </c>
      <c r="H8" s="8" t="s">
        <v>96</v>
      </c>
      <c r="I8" s="8"/>
      <c r="J8" s="9">
        <v>3.54</v>
      </c>
      <c r="K8" s="9">
        <v>4</v>
      </c>
      <c r="L8" s="8"/>
      <c r="M8" s="8">
        <v>227995</v>
      </c>
      <c r="N8" s="8">
        <v>63879</v>
      </c>
      <c r="O8" s="8" t="s">
        <v>67</v>
      </c>
      <c r="P8" s="8"/>
      <c r="Q8" s="10">
        <v>0.58958333333333335</v>
      </c>
      <c r="R8" s="8"/>
      <c r="S8" s="8"/>
      <c r="T8" s="10">
        <v>0.60277777777777775</v>
      </c>
      <c r="U8" s="8"/>
      <c r="V8" s="10">
        <v>0.61944444444444446</v>
      </c>
      <c r="W8" s="8">
        <v>3</v>
      </c>
      <c r="X8" s="8"/>
      <c r="Y8" s="4" t="s">
        <v>71</v>
      </c>
    </row>
    <row r="9" spans="1:25" x14ac:dyDescent="0.45">
      <c r="A9" s="5">
        <v>44613</v>
      </c>
      <c r="B9" s="18">
        <f t="shared" si="0"/>
        <v>2022</v>
      </c>
      <c r="C9" s="4" t="s">
        <v>16</v>
      </c>
      <c r="D9" s="8" t="s">
        <v>148</v>
      </c>
      <c r="E9" s="8" t="s">
        <v>63</v>
      </c>
      <c r="F9" s="8" t="s">
        <v>18</v>
      </c>
      <c r="G9" s="8" t="s">
        <v>20</v>
      </c>
      <c r="H9" s="8" t="s">
        <v>96</v>
      </c>
      <c r="I9" s="8"/>
      <c r="J9" s="9">
        <v>3.05</v>
      </c>
      <c r="K9" s="9">
        <v>3.75</v>
      </c>
      <c r="L9" s="8">
        <v>208</v>
      </c>
      <c r="M9" s="8">
        <v>227996</v>
      </c>
      <c r="N9" s="8">
        <v>63880</v>
      </c>
      <c r="O9" s="8" t="s">
        <v>68</v>
      </c>
      <c r="P9" s="8"/>
      <c r="Q9" s="10">
        <v>0.63541666666666663</v>
      </c>
      <c r="R9" s="8"/>
      <c r="S9" s="8"/>
      <c r="T9" s="10">
        <v>0.64374999999999993</v>
      </c>
      <c r="U9" s="8"/>
      <c r="V9" s="10">
        <v>0.65138888888888891</v>
      </c>
      <c r="W9" s="8">
        <v>3</v>
      </c>
      <c r="X9" s="8"/>
      <c r="Y9" s="4"/>
    </row>
    <row r="10" spans="1:25" x14ac:dyDescent="0.45">
      <c r="A10" s="5">
        <v>44613</v>
      </c>
      <c r="B10" s="18">
        <f t="shared" si="0"/>
        <v>2022</v>
      </c>
      <c r="C10" s="4" t="s">
        <v>16</v>
      </c>
      <c r="D10" s="8" t="s">
        <v>149</v>
      </c>
      <c r="E10" s="8" t="s">
        <v>64</v>
      </c>
      <c r="F10" s="8" t="s">
        <v>18</v>
      </c>
      <c r="G10" s="8" t="s">
        <v>26</v>
      </c>
      <c r="H10" s="8" t="s">
        <v>96</v>
      </c>
      <c r="I10" s="8"/>
      <c r="J10" s="9">
        <v>2.9</v>
      </c>
      <c r="K10" s="9">
        <v>3.5</v>
      </c>
      <c r="L10" s="8">
        <v>209</v>
      </c>
      <c r="M10" s="8">
        <v>227997</v>
      </c>
      <c r="N10" s="8">
        <v>63881</v>
      </c>
      <c r="O10" s="8" t="s">
        <v>69</v>
      </c>
      <c r="P10" s="8"/>
      <c r="Q10" s="10">
        <v>0.63888888888888895</v>
      </c>
      <c r="R10" s="8"/>
      <c r="S10" s="8"/>
      <c r="T10" s="10">
        <v>0.66041666666666665</v>
      </c>
      <c r="U10" s="8"/>
      <c r="V10" s="10">
        <v>0.67013888888888884</v>
      </c>
      <c r="W10" s="8">
        <v>1</v>
      </c>
      <c r="X10" s="8"/>
      <c r="Y10" s="4" t="s">
        <v>90</v>
      </c>
    </row>
    <row r="11" spans="1:25" x14ac:dyDescent="0.45">
      <c r="A11" s="5">
        <v>44613</v>
      </c>
      <c r="B11" s="18">
        <f t="shared" si="0"/>
        <v>2022</v>
      </c>
      <c r="C11" s="4" t="s">
        <v>16</v>
      </c>
      <c r="D11" s="8"/>
      <c r="E11" s="8" t="s">
        <v>65</v>
      </c>
      <c r="F11" s="8" t="s">
        <v>18</v>
      </c>
      <c r="G11" s="8" t="s">
        <v>20</v>
      </c>
      <c r="H11" s="8" t="s">
        <v>96</v>
      </c>
      <c r="I11" s="8"/>
      <c r="J11" s="9">
        <v>3.09</v>
      </c>
      <c r="K11" s="9">
        <v>3.6</v>
      </c>
      <c r="L11" s="8"/>
      <c r="M11" s="8" t="s">
        <v>97</v>
      </c>
      <c r="N11" s="8">
        <v>63882</v>
      </c>
      <c r="O11" s="8" t="s">
        <v>70</v>
      </c>
      <c r="P11" s="8"/>
      <c r="Q11" s="10">
        <v>0.73611111111111116</v>
      </c>
      <c r="R11" s="8"/>
      <c r="S11" s="8"/>
      <c r="T11" s="10">
        <v>0.74444444444444446</v>
      </c>
      <c r="U11" s="8"/>
      <c r="V11" s="10">
        <v>0.75347222222222221</v>
      </c>
      <c r="W11" s="8">
        <v>2.5</v>
      </c>
      <c r="X11" s="8"/>
      <c r="Y11" s="4"/>
    </row>
    <row r="12" spans="1:25" x14ac:dyDescent="0.45">
      <c r="A12" s="5">
        <v>44616</v>
      </c>
      <c r="B12" s="18">
        <f t="shared" si="0"/>
        <v>2022</v>
      </c>
      <c r="C12" s="4" t="s">
        <v>16</v>
      </c>
      <c r="D12" s="8"/>
      <c r="E12" s="8" t="s">
        <v>66</v>
      </c>
      <c r="F12" s="8" t="s">
        <v>18</v>
      </c>
      <c r="G12" s="8" t="s">
        <v>20</v>
      </c>
      <c r="H12" s="8" t="s">
        <v>96</v>
      </c>
      <c r="I12" s="8"/>
      <c r="J12" s="9">
        <v>2.4700000000000002</v>
      </c>
      <c r="K12" s="9">
        <v>3.17</v>
      </c>
      <c r="L12" s="8">
        <v>210</v>
      </c>
      <c r="M12" s="8" t="s">
        <v>97</v>
      </c>
      <c r="N12" s="8">
        <v>63883</v>
      </c>
      <c r="O12" s="8" t="s">
        <v>97</v>
      </c>
      <c r="P12" s="10">
        <v>0.5625</v>
      </c>
      <c r="Q12" s="10">
        <v>0.56874999999999998</v>
      </c>
      <c r="R12" s="10">
        <v>0.57222222222222219</v>
      </c>
      <c r="S12" s="8"/>
      <c r="T12" s="10">
        <v>0.5756944444444444</v>
      </c>
      <c r="U12" s="10">
        <v>0.57847222222222217</v>
      </c>
      <c r="V12" s="10">
        <v>0.58124999999999993</v>
      </c>
      <c r="W12" s="11">
        <v>2.5</v>
      </c>
      <c r="X12" s="11"/>
      <c r="Y12" s="4" t="s">
        <v>91</v>
      </c>
    </row>
    <row r="13" spans="1:25" x14ac:dyDescent="0.45">
      <c r="A13" s="5">
        <v>44616</v>
      </c>
      <c r="B13" s="18">
        <f t="shared" si="0"/>
        <v>2022</v>
      </c>
      <c r="C13" s="4" t="s">
        <v>16</v>
      </c>
      <c r="D13" s="8" t="s">
        <v>150</v>
      </c>
      <c r="E13" s="8" t="s">
        <v>72</v>
      </c>
      <c r="F13" s="8" t="s">
        <v>18</v>
      </c>
      <c r="G13" s="8" t="s">
        <v>20</v>
      </c>
      <c r="H13" s="8" t="s">
        <v>96</v>
      </c>
      <c r="I13" s="8"/>
      <c r="J13" s="9">
        <v>3.21</v>
      </c>
      <c r="K13" s="9">
        <v>4.05</v>
      </c>
      <c r="L13" s="8">
        <v>211</v>
      </c>
      <c r="M13" s="8">
        <v>227998</v>
      </c>
      <c r="N13" s="8">
        <v>63884</v>
      </c>
      <c r="O13" s="8" t="s">
        <v>97</v>
      </c>
      <c r="P13" s="8"/>
      <c r="Q13" s="10">
        <v>0.59027777777777779</v>
      </c>
      <c r="R13" s="10">
        <v>0.59305555555555556</v>
      </c>
      <c r="S13" s="8"/>
      <c r="T13" s="10">
        <v>0.60416666666666663</v>
      </c>
      <c r="U13" s="10">
        <v>0.61458333333333337</v>
      </c>
      <c r="V13" s="10">
        <v>0.61597222222222225</v>
      </c>
      <c r="W13" s="8">
        <v>3</v>
      </c>
      <c r="X13" s="8"/>
      <c r="Y13" s="4" t="s">
        <v>92</v>
      </c>
    </row>
    <row r="14" spans="1:25" x14ac:dyDescent="0.45">
      <c r="A14" s="5">
        <v>44616</v>
      </c>
      <c r="B14" s="18">
        <f t="shared" si="0"/>
        <v>2022</v>
      </c>
      <c r="C14" s="4" t="s">
        <v>16</v>
      </c>
      <c r="D14" s="8" t="s">
        <v>151</v>
      </c>
      <c r="E14" s="8" t="s">
        <v>73</v>
      </c>
      <c r="F14" s="8" t="s">
        <v>18</v>
      </c>
      <c r="G14" s="8" t="s">
        <v>20</v>
      </c>
      <c r="H14" s="8" t="s">
        <v>96</v>
      </c>
      <c r="I14" s="8"/>
      <c r="J14" s="9">
        <v>3.45</v>
      </c>
      <c r="K14" s="9">
        <v>4.3</v>
      </c>
      <c r="L14" s="8">
        <v>212</v>
      </c>
      <c r="M14" s="8">
        <v>227999</v>
      </c>
      <c r="N14" s="8">
        <v>63885</v>
      </c>
      <c r="O14" s="8" t="s">
        <v>97</v>
      </c>
      <c r="P14" s="8"/>
      <c r="Q14" s="10">
        <v>0.64166666666666672</v>
      </c>
      <c r="R14" s="10">
        <v>0.6430555555555556</v>
      </c>
      <c r="S14" s="8"/>
      <c r="T14" s="10">
        <v>0.65555555555555556</v>
      </c>
      <c r="U14" s="10">
        <v>0.65972222222222221</v>
      </c>
      <c r="V14" s="10">
        <v>0.67152777777777783</v>
      </c>
      <c r="W14" s="8">
        <v>2</v>
      </c>
      <c r="X14" s="8"/>
      <c r="Y14" s="4" t="s">
        <v>80</v>
      </c>
    </row>
    <row r="15" spans="1:25" x14ac:dyDescent="0.45">
      <c r="A15" s="5">
        <v>44616</v>
      </c>
      <c r="B15" s="18">
        <f t="shared" si="0"/>
        <v>2022</v>
      </c>
      <c r="C15" s="4" t="s">
        <v>16</v>
      </c>
      <c r="D15" s="8"/>
      <c r="E15" s="8" t="s">
        <v>74</v>
      </c>
      <c r="F15" s="8" t="s">
        <v>18</v>
      </c>
      <c r="G15" s="8" t="s">
        <v>26</v>
      </c>
      <c r="H15" s="8" t="s">
        <v>96</v>
      </c>
      <c r="I15" s="8"/>
      <c r="J15" s="9">
        <v>2.36</v>
      </c>
      <c r="K15" s="9">
        <v>2.89</v>
      </c>
      <c r="L15" s="8">
        <v>213</v>
      </c>
      <c r="M15" s="8" t="s">
        <v>97</v>
      </c>
      <c r="N15" s="8">
        <v>63886</v>
      </c>
      <c r="O15" s="8" t="s">
        <v>97</v>
      </c>
      <c r="P15" s="8"/>
      <c r="Q15" s="8" t="s">
        <v>88</v>
      </c>
      <c r="R15" s="8"/>
      <c r="S15" s="8"/>
      <c r="T15" s="8"/>
      <c r="U15" s="10">
        <v>0.67847222222222225</v>
      </c>
      <c r="V15" s="10">
        <v>0.68333333333333324</v>
      </c>
      <c r="W15" s="8">
        <v>2</v>
      </c>
      <c r="X15" s="8"/>
      <c r="Y15" s="4" t="s">
        <v>89</v>
      </c>
    </row>
    <row r="16" spans="1:25" x14ac:dyDescent="0.45">
      <c r="A16" s="5">
        <v>44616</v>
      </c>
      <c r="B16" s="18">
        <f t="shared" si="0"/>
        <v>2022</v>
      </c>
      <c r="C16" s="4" t="s">
        <v>16</v>
      </c>
      <c r="D16" s="8" t="s">
        <v>152</v>
      </c>
      <c r="E16" s="8" t="s">
        <v>75</v>
      </c>
      <c r="F16" s="8" t="s">
        <v>18</v>
      </c>
      <c r="G16" s="8" t="s">
        <v>20</v>
      </c>
      <c r="H16" s="8" t="s">
        <v>96</v>
      </c>
      <c r="I16" s="8"/>
      <c r="J16" s="9">
        <v>3.37</v>
      </c>
      <c r="K16" s="9">
        <v>4.17</v>
      </c>
      <c r="L16" s="8">
        <v>214</v>
      </c>
      <c r="M16" s="8">
        <v>228000</v>
      </c>
      <c r="N16" s="8">
        <v>63887</v>
      </c>
      <c r="O16" s="8" t="s">
        <v>97</v>
      </c>
      <c r="P16" s="8"/>
      <c r="Q16" s="10">
        <v>0.70763888888888893</v>
      </c>
      <c r="R16" s="10">
        <v>0.7090277777777777</v>
      </c>
      <c r="S16" s="8"/>
      <c r="T16" s="10">
        <v>0.71805555555555556</v>
      </c>
      <c r="U16" s="10">
        <v>0.73125000000000007</v>
      </c>
      <c r="V16" s="10">
        <v>0.73472222222222217</v>
      </c>
      <c r="W16" s="12">
        <v>2</v>
      </c>
      <c r="X16" s="12"/>
      <c r="Y16" s="4" t="s">
        <v>94</v>
      </c>
    </row>
    <row r="17" spans="1:25" x14ac:dyDescent="0.45">
      <c r="A17" s="5">
        <v>44618</v>
      </c>
      <c r="B17" s="18">
        <f t="shared" si="0"/>
        <v>2022</v>
      </c>
      <c r="C17" s="4" t="s">
        <v>16</v>
      </c>
      <c r="D17" s="8"/>
      <c r="E17" s="8" t="s">
        <v>76</v>
      </c>
      <c r="F17" s="8" t="s">
        <v>18</v>
      </c>
      <c r="G17" s="8" t="s">
        <v>20</v>
      </c>
      <c r="H17" s="8" t="s">
        <v>95</v>
      </c>
      <c r="I17" s="8"/>
      <c r="J17" s="9">
        <v>3.48</v>
      </c>
      <c r="K17" s="9">
        <v>4.08</v>
      </c>
      <c r="L17" s="8">
        <v>216</v>
      </c>
      <c r="M17" s="8" t="s">
        <v>97</v>
      </c>
      <c r="N17" s="8" t="s">
        <v>97</v>
      </c>
      <c r="O17" s="8" t="s">
        <v>82</v>
      </c>
      <c r="P17" s="10">
        <v>0.37708333333333338</v>
      </c>
      <c r="Q17" s="10">
        <v>0.42777777777777781</v>
      </c>
      <c r="R17" s="10">
        <v>0.43055555555555558</v>
      </c>
      <c r="S17" s="8"/>
      <c r="T17" s="10">
        <v>0.44097222222222227</v>
      </c>
      <c r="U17" s="10">
        <v>0.4465277777777778</v>
      </c>
      <c r="V17" s="10">
        <v>0.44791666666666669</v>
      </c>
      <c r="W17" s="12">
        <v>3</v>
      </c>
      <c r="X17" s="12"/>
      <c r="Y17" s="4" t="s">
        <v>81</v>
      </c>
    </row>
    <row r="18" spans="1:25" x14ac:dyDescent="0.45">
      <c r="A18" s="5">
        <v>44618</v>
      </c>
      <c r="B18" s="18">
        <f t="shared" si="0"/>
        <v>2022</v>
      </c>
      <c r="C18" s="4" t="s">
        <v>16</v>
      </c>
      <c r="D18" s="8" t="s">
        <v>153</v>
      </c>
      <c r="E18" s="8" t="s">
        <v>77</v>
      </c>
      <c r="F18" s="8" t="s">
        <v>18</v>
      </c>
      <c r="G18" s="8" t="s">
        <v>20</v>
      </c>
      <c r="H18" s="8" t="s">
        <v>95</v>
      </c>
      <c r="I18" s="8"/>
      <c r="J18" s="9">
        <v>3.45</v>
      </c>
      <c r="K18" s="9">
        <v>4.09</v>
      </c>
      <c r="L18" s="8">
        <v>217</v>
      </c>
      <c r="M18" s="8">
        <v>228002</v>
      </c>
      <c r="N18" s="8">
        <v>63888</v>
      </c>
      <c r="O18" s="8" t="s">
        <v>83</v>
      </c>
      <c r="P18" s="8"/>
      <c r="Q18" s="10">
        <v>0.45</v>
      </c>
      <c r="R18" s="10">
        <v>0.45277777777777778</v>
      </c>
      <c r="S18" s="8"/>
      <c r="T18" s="10">
        <v>0.4604166666666667</v>
      </c>
      <c r="U18" s="10">
        <v>0.46180555555555558</v>
      </c>
      <c r="V18" s="10">
        <v>0.47638888888888892</v>
      </c>
      <c r="W18" s="12">
        <v>2</v>
      </c>
      <c r="X18" s="12"/>
      <c r="Y18" s="4" t="s">
        <v>93</v>
      </c>
    </row>
    <row r="19" spans="1:25" x14ac:dyDescent="0.45">
      <c r="A19" s="5">
        <v>44618</v>
      </c>
      <c r="B19" s="18">
        <f t="shared" si="0"/>
        <v>2022</v>
      </c>
      <c r="C19" s="4" t="s">
        <v>16</v>
      </c>
      <c r="D19" s="8" t="s">
        <v>154</v>
      </c>
      <c r="E19" s="8" t="s">
        <v>78</v>
      </c>
      <c r="F19" s="8" t="s">
        <v>18</v>
      </c>
      <c r="G19" s="8" t="s">
        <v>20</v>
      </c>
      <c r="H19" s="8" t="s">
        <v>95</v>
      </c>
      <c r="I19" s="8"/>
      <c r="J19" s="9">
        <v>3.37</v>
      </c>
      <c r="K19" s="9">
        <v>4.0999999999999996</v>
      </c>
      <c r="L19" s="8">
        <v>219</v>
      </c>
      <c r="M19" s="8">
        <v>228001</v>
      </c>
      <c r="N19" s="8">
        <v>63889</v>
      </c>
      <c r="O19" s="8" t="s">
        <v>84</v>
      </c>
      <c r="P19" s="8"/>
      <c r="Q19" s="10">
        <v>0.48819444444444443</v>
      </c>
      <c r="R19" s="10">
        <v>0.49027777777777781</v>
      </c>
      <c r="S19" s="8"/>
      <c r="T19" s="10">
        <v>0.50208333333333333</v>
      </c>
      <c r="U19" s="10">
        <v>0.50972222222222219</v>
      </c>
      <c r="V19" s="10">
        <v>0.51527777777777783</v>
      </c>
      <c r="W19" s="8" t="s">
        <v>86</v>
      </c>
      <c r="X19" s="8"/>
      <c r="Y19" s="4" t="s">
        <v>87</v>
      </c>
    </row>
    <row r="20" spans="1:25" x14ac:dyDescent="0.45">
      <c r="A20" s="5">
        <v>44618</v>
      </c>
      <c r="B20" s="18">
        <f t="shared" si="0"/>
        <v>2022</v>
      </c>
      <c r="C20" s="4" t="s">
        <v>16</v>
      </c>
      <c r="D20" s="8" t="s">
        <v>155</v>
      </c>
      <c r="E20" s="8" t="s">
        <v>79</v>
      </c>
      <c r="F20" s="8" t="s">
        <v>18</v>
      </c>
      <c r="G20" s="8" t="s">
        <v>20</v>
      </c>
      <c r="H20" s="8" t="s">
        <v>95</v>
      </c>
      <c r="I20" s="8"/>
      <c r="J20" s="9">
        <v>3.49</v>
      </c>
      <c r="K20" s="9">
        <v>4.12</v>
      </c>
      <c r="L20" s="8">
        <v>220</v>
      </c>
      <c r="M20" s="8">
        <v>228003</v>
      </c>
      <c r="N20" s="8">
        <v>63890</v>
      </c>
      <c r="O20" s="8" t="s">
        <v>85</v>
      </c>
      <c r="P20" s="8"/>
      <c r="Q20" s="10">
        <v>0.51597222222222217</v>
      </c>
      <c r="R20" s="10">
        <v>0.52152777777777781</v>
      </c>
      <c r="S20" s="8"/>
      <c r="T20" s="10">
        <v>0.52986111111111112</v>
      </c>
      <c r="U20" s="10">
        <v>0.54097222222222219</v>
      </c>
      <c r="V20" s="10">
        <v>0.54513888888888895</v>
      </c>
      <c r="W20" s="8">
        <v>2.5</v>
      </c>
      <c r="X20" s="8"/>
      <c r="Y20" s="4"/>
    </row>
    <row r="21" spans="1:25" x14ac:dyDescent="0.45">
      <c r="A21" s="5">
        <v>44619</v>
      </c>
      <c r="B21" s="18">
        <f t="shared" si="0"/>
        <v>2022</v>
      </c>
      <c r="C21" s="4" t="s">
        <v>16</v>
      </c>
      <c r="D21" s="8"/>
      <c r="E21" s="8" t="s">
        <v>98</v>
      </c>
      <c r="F21" s="8" t="s">
        <v>18</v>
      </c>
      <c r="G21" s="8" t="s">
        <v>20</v>
      </c>
      <c r="H21" s="8" t="s">
        <v>95</v>
      </c>
      <c r="I21" s="8"/>
      <c r="J21" s="9">
        <v>3.35</v>
      </c>
      <c r="K21" s="9">
        <v>3.9</v>
      </c>
      <c r="L21" s="8" t="s">
        <v>97</v>
      </c>
      <c r="M21" s="8" t="s">
        <v>97</v>
      </c>
      <c r="N21" s="8" t="s">
        <v>97</v>
      </c>
      <c r="O21" s="8" t="s">
        <v>100</v>
      </c>
      <c r="P21" s="8"/>
      <c r="Q21" s="10">
        <v>0.5756944444444444</v>
      </c>
      <c r="R21" s="10">
        <v>0.57708333333333328</v>
      </c>
      <c r="S21" s="8"/>
      <c r="T21" s="10">
        <v>0.58611111111111114</v>
      </c>
      <c r="U21" s="10">
        <v>0.59097222222222223</v>
      </c>
      <c r="V21" s="10">
        <v>0.59166666666666667</v>
      </c>
      <c r="W21" s="12">
        <v>3</v>
      </c>
      <c r="X21" s="12"/>
      <c r="Y21" s="4" t="s">
        <v>102</v>
      </c>
    </row>
    <row r="22" spans="1:25" x14ac:dyDescent="0.45">
      <c r="A22" s="5">
        <v>44619</v>
      </c>
      <c r="B22" s="18">
        <f t="shared" si="0"/>
        <v>2022</v>
      </c>
      <c r="C22" s="4" t="s">
        <v>16</v>
      </c>
      <c r="D22" s="8"/>
      <c r="E22" s="8" t="s">
        <v>99</v>
      </c>
      <c r="F22" s="8" t="s">
        <v>18</v>
      </c>
      <c r="G22" s="8" t="s">
        <v>20</v>
      </c>
      <c r="H22" s="8" t="s">
        <v>95</v>
      </c>
      <c r="I22" s="8"/>
      <c r="J22" s="9">
        <v>2.2799999999999998</v>
      </c>
      <c r="K22" s="9">
        <v>2.83</v>
      </c>
      <c r="L22" s="8">
        <v>221</v>
      </c>
      <c r="M22" s="8" t="s">
        <v>97</v>
      </c>
      <c r="N22" s="8" t="s">
        <v>97</v>
      </c>
      <c r="O22" s="8" t="s">
        <v>101</v>
      </c>
      <c r="P22" s="8"/>
      <c r="Q22" s="10">
        <v>0.61249999999999993</v>
      </c>
      <c r="R22" s="10">
        <v>0.61527777777777781</v>
      </c>
      <c r="S22" s="8"/>
      <c r="T22" s="8"/>
      <c r="U22" s="10">
        <v>0.62222222222222223</v>
      </c>
      <c r="V22" s="10">
        <v>0.6166666666666667</v>
      </c>
      <c r="W22" s="12">
        <v>5</v>
      </c>
      <c r="X22" s="12"/>
      <c r="Y22" s="4" t="s">
        <v>103</v>
      </c>
    </row>
    <row r="23" spans="1:25" x14ac:dyDescent="0.45">
      <c r="A23" s="5">
        <v>44624</v>
      </c>
      <c r="B23" s="18">
        <f t="shared" si="0"/>
        <v>2022</v>
      </c>
      <c r="C23" s="4" t="s">
        <v>16</v>
      </c>
      <c r="D23" s="8"/>
      <c r="E23" s="8" t="s">
        <v>109</v>
      </c>
      <c r="F23" s="8" t="s">
        <v>18</v>
      </c>
      <c r="G23" s="8" t="s">
        <v>20</v>
      </c>
      <c r="H23" s="8" t="s">
        <v>95</v>
      </c>
      <c r="I23" s="8"/>
      <c r="J23" s="9">
        <v>2.2999999999999998</v>
      </c>
      <c r="K23" s="9">
        <v>2.85</v>
      </c>
      <c r="L23" s="8">
        <v>222</v>
      </c>
      <c r="M23" s="8" t="s">
        <v>97</v>
      </c>
      <c r="N23" s="8" t="s">
        <v>97</v>
      </c>
      <c r="O23" s="8" t="s">
        <v>113</v>
      </c>
      <c r="P23" s="10">
        <v>0.47361111111111115</v>
      </c>
      <c r="Q23" s="10">
        <v>0.54583333333333328</v>
      </c>
      <c r="R23" s="10">
        <v>0.54861111111111105</v>
      </c>
      <c r="S23" s="8"/>
      <c r="T23" s="10">
        <v>0.55347222222222225</v>
      </c>
      <c r="U23" s="10">
        <v>0.55694444444444446</v>
      </c>
      <c r="V23" s="10">
        <v>0.55763888888888891</v>
      </c>
      <c r="W23" s="12">
        <v>3</v>
      </c>
      <c r="X23" s="9">
        <v>7.29</v>
      </c>
      <c r="Y23" s="4" t="s">
        <v>115</v>
      </c>
    </row>
    <row r="24" spans="1:25" x14ac:dyDescent="0.45">
      <c r="A24" s="5">
        <v>44627</v>
      </c>
      <c r="B24" s="18">
        <f t="shared" si="0"/>
        <v>2022</v>
      </c>
      <c r="C24" s="4" t="s">
        <v>16</v>
      </c>
      <c r="D24" s="8" t="s">
        <v>156</v>
      </c>
      <c r="E24" s="8" t="s">
        <v>110</v>
      </c>
      <c r="F24" s="8" t="s">
        <v>18</v>
      </c>
      <c r="G24" s="8" t="s">
        <v>20</v>
      </c>
      <c r="H24" s="8" t="s">
        <v>95</v>
      </c>
      <c r="I24" s="8"/>
      <c r="J24" s="9">
        <v>3.65</v>
      </c>
      <c r="K24" s="9">
        <v>4.46</v>
      </c>
      <c r="L24" s="8" t="s">
        <v>97</v>
      </c>
      <c r="M24" s="8">
        <v>228004</v>
      </c>
      <c r="N24" s="8" t="s">
        <v>97</v>
      </c>
      <c r="O24" s="8" t="s">
        <v>116</v>
      </c>
      <c r="P24" s="10">
        <v>0.47291666666666665</v>
      </c>
      <c r="Q24" s="10">
        <v>0.49652777777777773</v>
      </c>
      <c r="R24" s="10">
        <v>0.5</v>
      </c>
      <c r="S24" s="8"/>
      <c r="T24" s="10">
        <v>0.51458333333333328</v>
      </c>
      <c r="U24" s="10">
        <v>0.51736111111111105</v>
      </c>
      <c r="V24" s="10">
        <v>0.52708333333333335</v>
      </c>
      <c r="W24" s="12">
        <v>2</v>
      </c>
      <c r="X24" s="8">
        <v>7.46</v>
      </c>
      <c r="Y24" s="4" t="s">
        <v>126</v>
      </c>
    </row>
    <row r="25" spans="1:25" x14ac:dyDescent="0.45">
      <c r="A25" s="5">
        <v>44627</v>
      </c>
      <c r="B25" s="18">
        <f t="shared" si="0"/>
        <v>2022</v>
      </c>
      <c r="C25" s="4" t="s">
        <v>16</v>
      </c>
      <c r="D25" s="8"/>
      <c r="E25" s="8" t="s">
        <v>111</v>
      </c>
      <c r="F25" s="8" t="s">
        <v>18</v>
      </c>
      <c r="G25" s="8" t="s">
        <v>20</v>
      </c>
      <c r="H25" s="8" t="s">
        <v>95</v>
      </c>
      <c r="I25" s="8"/>
      <c r="J25" s="9">
        <v>2.9</v>
      </c>
      <c r="K25" s="9">
        <v>3.5</v>
      </c>
      <c r="L25" s="8">
        <v>223</v>
      </c>
      <c r="M25" s="8" t="s">
        <v>97</v>
      </c>
      <c r="N25" s="8" t="s">
        <v>97</v>
      </c>
      <c r="O25" s="8" t="s">
        <v>117</v>
      </c>
      <c r="P25" s="8"/>
      <c r="Q25" s="10">
        <v>0.59097222222222223</v>
      </c>
      <c r="R25" s="10">
        <v>0.59236111111111112</v>
      </c>
      <c r="S25" s="8"/>
      <c r="T25" s="10">
        <v>0.59930555555555554</v>
      </c>
      <c r="U25" s="10">
        <v>0.60347222222222219</v>
      </c>
      <c r="V25" s="10">
        <v>0.60555555555555551</v>
      </c>
      <c r="W25" s="12">
        <v>3</v>
      </c>
      <c r="X25" s="8">
        <v>7.43</v>
      </c>
      <c r="Y25" s="4" t="s">
        <v>127</v>
      </c>
    </row>
    <row r="26" spans="1:25" x14ac:dyDescent="0.45">
      <c r="A26" s="5">
        <v>44627</v>
      </c>
      <c r="B26" s="18">
        <f t="shared" si="0"/>
        <v>2022</v>
      </c>
      <c r="C26" s="4" t="s">
        <v>16</v>
      </c>
      <c r="D26" s="8"/>
      <c r="E26" s="8" t="s">
        <v>112</v>
      </c>
      <c r="F26" s="8" t="s">
        <v>18</v>
      </c>
      <c r="G26" s="8" t="s">
        <v>26</v>
      </c>
      <c r="H26" s="8" t="s">
        <v>96</v>
      </c>
      <c r="I26" s="8"/>
      <c r="J26" s="9">
        <v>2.44</v>
      </c>
      <c r="K26" s="9">
        <v>2.93</v>
      </c>
      <c r="L26" s="8">
        <v>225</v>
      </c>
      <c r="M26" s="8" t="s">
        <v>97</v>
      </c>
      <c r="N26" s="8" t="s">
        <v>97</v>
      </c>
      <c r="O26" s="8" t="s">
        <v>118</v>
      </c>
      <c r="P26" s="8"/>
      <c r="Q26" s="26" t="s">
        <v>128</v>
      </c>
      <c r="R26" s="10">
        <v>0.60902777777777783</v>
      </c>
      <c r="S26" s="8"/>
      <c r="T26" s="10">
        <v>0.61388888888888882</v>
      </c>
      <c r="U26" s="10">
        <v>0.61805555555555558</v>
      </c>
      <c r="V26" s="10">
        <v>0.61944444444444446</v>
      </c>
      <c r="W26" s="12">
        <v>3</v>
      </c>
      <c r="X26" s="8">
        <v>7.23</v>
      </c>
      <c r="Y26" s="4" t="s">
        <v>141</v>
      </c>
    </row>
    <row r="27" spans="1:25" x14ac:dyDescent="0.45">
      <c r="A27" s="5">
        <v>44251</v>
      </c>
      <c r="B27" s="18">
        <f t="shared" si="0"/>
        <v>2021</v>
      </c>
      <c r="C27" s="4" t="s">
        <v>191</v>
      </c>
      <c r="D27" s="8"/>
      <c r="E27" s="8" t="s">
        <v>219</v>
      </c>
      <c r="F27" s="8" t="s">
        <v>18</v>
      </c>
      <c r="G27" s="8" t="s">
        <v>220</v>
      </c>
      <c r="H27" s="8"/>
      <c r="I27" s="8"/>
      <c r="J27" s="8"/>
      <c r="K27" s="8" t="s">
        <v>221</v>
      </c>
      <c r="L27" s="8"/>
      <c r="M27" s="8"/>
      <c r="N27" s="8"/>
      <c r="O27" s="8"/>
      <c r="P27" s="8"/>
      <c r="Q27" s="10">
        <v>0.42569444444444443</v>
      </c>
      <c r="R27" s="8"/>
      <c r="S27" s="8"/>
      <c r="T27" s="8"/>
      <c r="U27" s="8"/>
      <c r="V27" s="8"/>
      <c r="W27" s="8"/>
      <c r="X27" s="4"/>
      <c r="Y27" s="4" t="s">
        <v>279</v>
      </c>
    </row>
    <row r="28" spans="1:25" ht="15.75" x14ac:dyDescent="0.5">
      <c r="A28" s="5">
        <v>44251</v>
      </c>
      <c r="B28" s="18">
        <f t="shared" si="0"/>
        <v>2021</v>
      </c>
      <c r="C28" s="4" t="s">
        <v>191</v>
      </c>
      <c r="D28" s="29" t="s">
        <v>222</v>
      </c>
      <c r="E28" s="8" t="s">
        <v>223</v>
      </c>
      <c r="F28" s="8" t="s">
        <v>18</v>
      </c>
      <c r="G28" s="8" t="s">
        <v>20</v>
      </c>
      <c r="H28" s="8"/>
      <c r="I28" s="8">
        <v>3</v>
      </c>
      <c r="J28" s="8"/>
      <c r="K28" s="8">
        <v>3.7</v>
      </c>
      <c r="L28" s="8">
        <v>1</v>
      </c>
      <c r="M28" s="8">
        <v>209115</v>
      </c>
      <c r="N28" s="8"/>
      <c r="O28" s="8"/>
      <c r="P28" s="8"/>
      <c r="Q28" s="10">
        <v>0.44444444444444442</v>
      </c>
      <c r="R28" s="8"/>
      <c r="S28" s="8"/>
      <c r="T28" s="10">
        <v>0.4513888888888889</v>
      </c>
      <c r="U28" s="8"/>
      <c r="V28" s="10">
        <v>0.46875</v>
      </c>
      <c r="W28" s="15" t="s">
        <v>271</v>
      </c>
      <c r="X28" s="4"/>
      <c r="Y28" s="4" t="s">
        <v>280</v>
      </c>
    </row>
    <row r="29" spans="1:25" x14ac:dyDescent="0.45">
      <c r="A29" s="5">
        <v>44251</v>
      </c>
      <c r="B29" s="18">
        <f t="shared" si="0"/>
        <v>2021</v>
      </c>
      <c r="C29" s="4" t="s">
        <v>191</v>
      </c>
      <c r="D29" s="8" t="s">
        <v>224</v>
      </c>
      <c r="E29" s="8" t="s">
        <v>225</v>
      </c>
      <c r="F29" s="8" t="s">
        <v>18</v>
      </c>
      <c r="G29" s="8" t="s">
        <v>20</v>
      </c>
      <c r="H29" s="8"/>
      <c r="I29" s="8">
        <v>2.8</v>
      </c>
      <c r="J29" s="8"/>
      <c r="K29" s="8">
        <v>3.58</v>
      </c>
      <c r="L29" s="8">
        <v>2</v>
      </c>
      <c r="M29" s="8">
        <v>209116</v>
      </c>
      <c r="N29" s="8"/>
      <c r="O29" s="8"/>
      <c r="P29" s="8"/>
      <c r="Q29" s="10">
        <v>0.47083333333333338</v>
      </c>
      <c r="R29" s="8"/>
      <c r="S29" s="8"/>
      <c r="T29" s="10">
        <v>0.4861111111111111</v>
      </c>
      <c r="U29" s="8"/>
      <c r="V29" s="10">
        <v>0.50069444444444444</v>
      </c>
      <c r="W29" s="15" t="s">
        <v>272</v>
      </c>
      <c r="X29" s="4"/>
      <c r="Y29" s="4" t="s">
        <v>281</v>
      </c>
    </row>
    <row r="30" spans="1:25" ht="15.75" x14ac:dyDescent="0.5">
      <c r="A30" s="5">
        <v>44251</v>
      </c>
      <c r="B30" s="18">
        <f t="shared" si="0"/>
        <v>2021</v>
      </c>
      <c r="C30" s="4" t="s">
        <v>191</v>
      </c>
      <c r="D30" s="29" t="s">
        <v>226</v>
      </c>
      <c r="E30" s="8" t="s">
        <v>227</v>
      </c>
      <c r="F30" s="8" t="s">
        <v>18</v>
      </c>
      <c r="G30" s="8" t="s">
        <v>20</v>
      </c>
      <c r="H30" s="8"/>
      <c r="I30" s="8">
        <v>2.9</v>
      </c>
      <c r="J30" s="8"/>
      <c r="K30" s="8">
        <v>3.9</v>
      </c>
      <c r="L30" s="8">
        <v>3</v>
      </c>
      <c r="M30" s="8">
        <v>209117</v>
      </c>
      <c r="N30" s="8"/>
      <c r="O30" s="8"/>
      <c r="P30" s="8"/>
      <c r="Q30" s="10">
        <v>0.5131944444444444</v>
      </c>
      <c r="R30" s="8"/>
      <c r="S30" s="8"/>
      <c r="T30" s="10">
        <v>0.52708333333333335</v>
      </c>
      <c r="U30" s="8"/>
      <c r="V30" s="10">
        <v>4.1666666666666664E-2</v>
      </c>
      <c r="W30" s="15" t="s">
        <v>273</v>
      </c>
      <c r="X30" s="4"/>
      <c r="Y30" s="4" t="s">
        <v>282</v>
      </c>
    </row>
    <row r="31" spans="1:25" ht="15.75" x14ac:dyDescent="0.5">
      <c r="A31" s="5">
        <v>44251</v>
      </c>
      <c r="B31" s="18">
        <f t="shared" si="0"/>
        <v>2021</v>
      </c>
      <c r="C31" s="4" t="s">
        <v>191</v>
      </c>
      <c r="D31" s="29" t="s">
        <v>228</v>
      </c>
      <c r="E31" s="8" t="s">
        <v>229</v>
      </c>
      <c r="F31" s="8" t="s">
        <v>18</v>
      </c>
      <c r="G31" s="8" t="s">
        <v>20</v>
      </c>
      <c r="H31" s="8"/>
      <c r="I31" s="8">
        <v>2.93</v>
      </c>
      <c r="J31" s="8"/>
      <c r="K31" s="8" t="s">
        <v>230</v>
      </c>
      <c r="L31" s="8">
        <v>5</v>
      </c>
      <c r="M31" s="8">
        <v>209118</v>
      </c>
      <c r="N31" s="8"/>
      <c r="O31" s="8"/>
      <c r="P31" s="8"/>
      <c r="Q31" s="10">
        <v>6.25E-2</v>
      </c>
      <c r="R31" s="8"/>
      <c r="S31" s="8"/>
      <c r="T31" s="10">
        <v>7.6388888888888895E-2</v>
      </c>
      <c r="U31" s="8"/>
      <c r="V31" s="10">
        <v>9.0277777777777776E-2</v>
      </c>
      <c r="W31" s="15" t="s">
        <v>274</v>
      </c>
      <c r="X31" s="4"/>
      <c r="Y31" s="4" t="s">
        <v>283</v>
      </c>
    </row>
    <row r="32" spans="1:25" ht="15.75" x14ac:dyDescent="0.5">
      <c r="A32" s="5">
        <v>44251</v>
      </c>
      <c r="B32" s="18">
        <f t="shared" si="0"/>
        <v>2021</v>
      </c>
      <c r="C32" s="4" t="s">
        <v>191</v>
      </c>
      <c r="D32" s="29" t="s">
        <v>231</v>
      </c>
      <c r="E32" s="8" t="s">
        <v>232</v>
      </c>
      <c r="F32" s="8" t="s">
        <v>18</v>
      </c>
      <c r="G32" s="8" t="s">
        <v>20</v>
      </c>
      <c r="H32" s="8"/>
      <c r="I32" s="8">
        <v>3.18</v>
      </c>
      <c r="J32" s="8"/>
      <c r="K32" s="8">
        <v>4.17</v>
      </c>
      <c r="L32" s="8">
        <v>6</v>
      </c>
      <c r="M32" s="8">
        <v>209119</v>
      </c>
      <c r="N32" s="8"/>
      <c r="O32" s="8"/>
      <c r="P32" s="8"/>
      <c r="Q32" s="10">
        <v>7.2222222222222229E-2</v>
      </c>
      <c r="R32" s="8"/>
      <c r="S32" s="8"/>
      <c r="T32" s="10">
        <v>0.1125</v>
      </c>
      <c r="U32" s="8"/>
      <c r="V32" s="10">
        <v>0.12083333333333333</v>
      </c>
      <c r="W32" s="15" t="s">
        <v>275</v>
      </c>
      <c r="X32" s="4"/>
      <c r="Y32" s="4" t="s">
        <v>284</v>
      </c>
    </row>
    <row r="33" spans="1:25" ht="15.75" x14ac:dyDescent="0.5">
      <c r="A33" s="5">
        <v>44251</v>
      </c>
      <c r="B33" s="18">
        <f t="shared" si="0"/>
        <v>2021</v>
      </c>
      <c r="C33" s="4" t="s">
        <v>191</v>
      </c>
      <c r="D33" s="29" t="s">
        <v>233</v>
      </c>
      <c r="E33" s="8" t="s">
        <v>234</v>
      </c>
      <c r="F33" s="8" t="s">
        <v>18</v>
      </c>
      <c r="G33" s="8" t="s">
        <v>26</v>
      </c>
      <c r="H33" s="8"/>
      <c r="I33" s="8">
        <v>2.72</v>
      </c>
      <c r="J33" s="8"/>
      <c r="K33" s="8">
        <v>3.72</v>
      </c>
      <c r="L33" s="8">
        <v>7</v>
      </c>
      <c r="M33" s="8">
        <v>209120</v>
      </c>
      <c r="N33" s="8">
        <v>63787</v>
      </c>
      <c r="O33" s="8"/>
      <c r="P33" s="8"/>
      <c r="Q33" s="10">
        <v>0.13263888888888889</v>
      </c>
      <c r="R33" s="8"/>
      <c r="S33" s="8"/>
      <c r="T33" s="10">
        <v>0.15138888888888888</v>
      </c>
      <c r="U33" s="8"/>
      <c r="V33" s="10">
        <v>0.16874999999999998</v>
      </c>
      <c r="W33" s="15" t="s">
        <v>276</v>
      </c>
      <c r="X33" s="4"/>
      <c r="Y33" s="4" t="s">
        <v>285</v>
      </c>
    </row>
    <row r="34" spans="1:25" ht="15.75" x14ac:dyDescent="0.5">
      <c r="A34" s="5">
        <v>44253</v>
      </c>
      <c r="B34" s="18">
        <f t="shared" ref="B34:B65" si="1">YEAR(A34)</f>
        <v>2021</v>
      </c>
      <c r="C34" s="4" t="s">
        <v>191</v>
      </c>
      <c r="D34" s="29" t="s">
        <v>235</v>
      </c>
      <c r="E34" s="8" t="s">
        <v>236</v>
      </c>
      <c r="F34" s="8" t="s">
        <v>18</v>
      </c>
      <c r="G34" s="8" t="s">
        <v>20</v>
      </c>
      <c r="H34" s="8"/>
      <c r="I34" s="8">
        <v>3.33</v>
      </c>
      <c r="J34" s="8">
        <v>3.65</v>
      </c>
      <c r="K34" s="8">
        <v>4.3499999999999996</v>
      </c>
      <c r="L34" s="8">
        <v>8</v>
      </c>
      <c r="M34" s="8">
        <v>209121</v>
      </c>
      <c r="N34" s="8"/>
      <c r="O34" s="8"/>
      <c r="P34" s="8"/>
      <c r="Q34" s="10">
        <v>0.43541666666666662</v>
      </c>
      <c r="R34" s="8"/>
      <c r="S34" s="8"/>
      <c r="T34" s="10">
        <v>0.45833333333333331</v>
      </c>
      <c r="U34" s="8"/>
      <c r="V34" s="10">
        <v>0.47013888888888888</v>
      </c>
      <c r="W34" s="16" t="s">
        <v>275</v>
      </c>
      <c r="X34" s="4"/>
      <c r="Y34" s="4" t="s">
        <v>286</v>
      </c>
    </row>
    <row r="35" spans="1:25" ht="15.75" x14ac:dyDescent="0.5">
      <c r="A35" s="5">
        <v>44253</v>
      </c>
      <c r="B35" s="18">
        <f t="shared" si="1"/>
        <v>2021</v>
      </c>
      <c r="C35" s="4" t="s">
        <v>191</v>
      </c>
      <c r="D35" s="29" t="s">
        <v>237</v>
      </c>
      <c r="E35" s="8" t="s">
        <v>238</v>
      </c>
      <c r="F35" s="8" t="s">
        <v>18</v>
      </c>
      <c r="G35" s="8" t="s">
        <v>20</v>
      </c>
      <c r="H35" s="8"/>
      <c r="I35" s="8"/>
      <c r="J35" s="8">
        <v>3.13</v>
      </c>
      <c r="K35" s="8">
        <v>3.84</v>
      </c>
      <c r="L35" s="8">
        <v>9</v>
      </c>
      <c r="M35" s="8">
        <v>209122</v>
      </c>
      <c r="N35" s="8">
        <v>63788</v>
      </c>
      <c r="O35" s="8"/>
      <c r="P35" s="8"/>
      <c r="Q35" s="10">
        <v>0.4909722222222222</v>
      </c>
      <c r="R35" s="8"/>
      <c r="S35" s="8"/>
      <c r="T35" s="10">
        <v>0.51180555555555551</v>
      </c>
      <c r="U35" s="8"/>
      <c r="V35" s="10">
        <v>0.52361111111111114</v>
      </c>
      <c r="W35" s="15" t="s">
        <v>272</v>
      </c>
      <c r="X35" s="4"/>
      <c r="Y35" s="4" t="s">
        <v>287</v>
      </c>
    </row>
    <row r="36" spans="1:25" x14ac:dyDescent="0.45">
      <c r="A36" s="5">
        <v>44253</v>
      </c>
      <c r="B36" s="18">
        <f t="shared" si="1"/>
        <v>2021</v>
      </c>
      <c r="C36" s="4" t="s">
        <v>191</v>
      </c>
      <c r="D36" s="8" t="s">
        <v>239</v>
      </c>
      <c r="E36" s="8" t="s">
        <v>240</v>
      </c>
      <c r="F36" s="8" t="s">
        <v>18</v>
      </c>
      <c r="G36" s="8" t="s">
        <v>20</v>
      </c>
      <c r="H36" s="8"/>
      <c r="I36" s="8"/>
      <c r="J36" s="8">
        <v>3.54</v>
      </c>
      <c r="K36" s="8">
        <v>4.24</v>
      </c>
      <c r="L36" s="8">
        <v>21</v>
      </c>
      <c r="M36" s="8">
        <v>209123</v>
      </c>
      <c r="N36" s="8">
        <v>63789</v>
      </c>
      <c r="O36" s="8"/>
      <c r="P36" s="8"/>
      <c r="Q36" s="10">
        <v>6.458333333333334E-2</v>
      </c>
      <c r="R36" s="8"/>
      <c r="S36" s="8"/>
      <c r="T36" s="10">
        <v>8.6111111111111124E-2</v>
      </c>
      <c r="U36" s="8"/>
      <c r="V36" s="10">
        <v>9.5138888888888884E-2</v>
      </c>
      <c r="W36" s="15" t="s">
        <v>272</v>
      </c>
      <c r="X36" s="4"/>
      <c r="Y36" s="4" t="s">
        <v>288</v>
      </c>
    </row>
    <row r="37" spans="1:25" ht="15.75" x14ac:dyDescent="0.5">
      <c r="A37" s="5">
        <v>44253</v>
      </c>
      <c r="B37" s="18">
        <f t="shared" si="1"/>
        <v>2021</v>
      </c>
      <c r="C37" s="4" t="s">
        <v>191</v>
      </c>
      <c r="D37" s="29" t="s">
        <v>241</v>
      </c>
      <c r="E37" s="8" t="s">
        <v>242</v>
      </c>
      <c r="F37" s="8" t="s">
        <v>18</v>
      </c>
      <c r="G37" s="8" t="s">
        <v>20</v>
      </c>
      <c r="H37" s="8"/>
      <c r="I37" s="8"/>
      <c r="J37" s="8">
        <v>3.41</v>
      </c>
      <c r="K37" s="8">
        <v>4</v>
      </c>
      <c r="L37" s="8">
        <v>22</v>
      </c>
      <c r="M37" s="8">
        <v>209124</v>
      </c>
      <c r="N37" s="8">
        <v>63791</v>
      </c>
      <c r="O37" s="8"/>
      <c r="P37" s="8"/>
      <c r="Q37" s="10">
        <v>7.6388888888888895E-2</v>
      </c>
      <c r="R37" s="8"/>
      <c r="S37" s="8"/>
      <c r="T37" s="10">
        <v>0.10625</v>
      </c>
      <c r="U37" s="8"/>
      <c r="V37" s="10">
        <v>0.12013888888888889</v>
      </c>
      <c r="W37" s="15" t="s">
        <v>272</v>
      </c>
      <c r="X37" s="4"/>
      <c r="Y37" s="4" t="s">
        <v>289</v>
      </c>
    </row>
    <row r="38" spans="1:25" x14ac:dyDescent="0.45">
      <c r="A38" s="5">
        <v>44253</v>
      </c>
      <c r="B38" s="18">
        <f t="shared" si="1"/>
        <v>2021</v>
      </c>
      <c r="C38" s="4" t="s">
        <v>191</v>
      </c>
      <c r="D38" s="8"/>
      <c r="E38" s="8" t="s">
        <v>243</v>
      </c>
      <c r="F38" s="8" t="s">
        <v>244</v>
      </c>
      <c r="G38" s="8" t="s">
        <v>220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"/>
      <c r="Y38" s="4" t="s">
        <v>290</v>
      </c>
    </row>
    <row r="39" spans="1:25" x14ac:dyDescent="0.45">
      <c r="A39" s="5">
        <v>44254</v>
      </c>
      <c r="B39" s="18">
        <f t="shared" si="1"/>
        <v>2021</v>
      </c>
      <c r="C39" s="4" t="s">
        <v>191</v>
      </c>
      <c r="D39" s="8"/>
      <c r="E39" s="8" t="s">
        <v>245</v>
      </c>
      <c r="F39" s="8" t="s">
        <v>244</v>
      </c>
      <c r="G39" s="8" t="s">
        <v>20</v>
      </c>
      <c r="H39" s="8"/>
      <c r="I39" s="8"/>
      <c r="J39" s="8">
        <v>3.52</v>
      </c>
      <c r="K39" s="8">
        <v>4.25</v>
      </c>
      <c r="L39" s="8">
        <v>23</v>
      </c>
      <c r="M39" s="8"/>
      <c r="N39" s="8">
        <v>63792</v>
      </c>
      <c r="O39" s="8"/>
      <c r="P39" s="8"/>
      <c r="Q39" s="10">
        <v>0.41319444444444442</v>
      </c>
      <c r="R39" s="8"/>
      <c r="S39" s="8"/>
      <c r="T39" s="10">
        <v>0.4465277777777778</v>
      </c>
      <c r="U39" s="8"/>
      <c r="V39" s="10">
        <v>0.45069444444444445</v>
      </c>
      <c r="W39" s="15" t="s">
        <v>272</v>
      </c>
      <c r="X39" s="4"/>
      <c r="Y39" s="4" t="s">
        <v>291</v>
      </c>
    </row>
    <row r="40" spans="1:25" x14ac:dyDescent="0.45">
      <c r="A40" s="5">
        <v>44254</v>
      </c>
      <c r="B40" s="18">
        <f t="shared" si="1"/>
        <v>2021</v>
      </c>
      <c r="C40" s="4" t="s">
        <v>191</v>
      </c>
      <c r="D40" s="8"/>
      <c r="E40" s="8" t="s">
        <v>246</v>
      </c>
      <c r="F40" s="8" t="s">
        <v>244</v>
      </c>
      <c r="G40" s="8" t="s">
        <v>20</v>
      </c>
      <c r="H40" s="8"/>
      <c r="I40" s="8">
        <v>3</v>
      </c>
      <c r="J40" s="8"/>
      <c r="K40" s="8">
        <v>3.7</v>
      </c>
      <c r="L40" s="8">
        <v>1</v>
      </c>
      <c r="M40" s="8"/>
      <c r="N40" s="8">
        <v>63793</v>
      </c>
      <c r="O40" s="8"/>
      <c r="P40" s="8"/>
      <c r="Q40" s="10">
        <v>0.47916666666666669</v>
      </c>
      <c r="R40" s="8"/>
      <c r="S40" s="8"/>
      <c r="T40" s="8"/>
      <c r="U40" s="8"/>
      <c r="V40" s="8"/>
      <c r="W40" s="15" t="s">
        <v>271</v>
      </c>
      <c r="X40" s="4"/>
      <c r="Y40" s="4" t="s">
        <v>292</v>
      </c>
    </row>
    <row r="41" spans="1:25" x14ac:dyDescent="0.45">
      <c r="A41" s="5">
        <v>44254</v>
      </c>
      <c r="B41" s="18">
        <f t="shared" si="1"/>
        <v>2021</v>
      </c>
      <c r="C41" s="4" t="s">
        <v>191</v>
      </c>
      <c r="D41" s="8"/>
      <c r="E41" s="8" t="s">
        <v>247</v>
      </c>
      <c r="F41" s="8" t="s">
        <v>244</v>
      </c>
      <c r="G41" s="8" t="s">
        <v>20</v>
      </c>
      <c r="H41" s="8"/>
      <c r="I41" s="8"/>
      <c r="J41" s="8">
        <v>3.5</v>
      </c>
      <c r="K41" s="8">
        <v>4.22</v>
      </c>
      <c r="L41" s="8" t="s">
        <v>248</v>
      </c>
      <c r="M41" s="8"/>
      <c r="N41" s="8">
        <v>63794</v>
      </c>
      <c r="O41" s="8"/>
      <c r="P41" s="8"/>
      <c r="Q41" s="10">
        <v>0.48472222222222222</v>
      </c>
      <c r="R41" s="8"/>
      <c r="S41" s="8"/>
      <c r="T41" s="8"/>
      <c r="U41" s="8"/>
      <c r="V41" s="10">
        <v>0.52083333333333337</v>
      </c>
      <c r="W41" s="15" t="s">
        <v>276</v>
      </c>
      <c r="X41" s="4"/>
      <c r="Y41" s="4" t="s">
        <v>293</v>
      </c>
    </row>
    <row r="42" spans="1:25" x14ac:dyDescent="0.45">
      <c r="A42" s="5">
        <v>44254</v>
      </c>
      <c r="B42" s="18">
        <f t="shared" si="1"/>
        <v>2021</v>
      </c>
      <c r="C42" s="4" t="s">
        <v>191</v>
      </c>
      <c r="D42" s="8"/>
      <c r="E42" s="8" t="s">
        <v>249</v>
      </c>
      <c r="F42" s="8" t="s">
        <v>244</v>
      </c>
      <c r="G42" s="8" t="s">
        <v>20</v>
      </c>
      <c r="H42" s="8"/>
      <c r="I42" s="8"/>
      <c r="J42" s="8">
        <v>3.18</v>
      </c>
      <c r="K42" s="8">
        <v>3.79</v>
      </c>
      <c r="L42" s="8">
        <v>24</v>
      </c>
      <c r="M42" s="8"/>
      <c r="N42" s="8">
        <v>63795</v>
      </c>
      <c r="O42" s="8"/>
      <c r="P42" s="8"/>
      <c r="Q42" s="10">
        <v>0.52916666666666667</v>
      </c>
      <c r="R42" s="8"/>
      <c r="S42" s="8"/>
      <c r="T42" s="10">
        <v>4.9305555555555554E-2</v>
      </c>
      <c r="U42" s="8"/>
      <c r="V42" s="10">
        <v>5.4166666666666669E-2</v>
      </c>
      <c r="W42" s="15" t="s">
        <v>271</v>
      </c>
      <c r="X42" s="4"/>
      <c r="Y42" s="4"/>
    </row>
    <row r="43" spans="1:25" x14ac:dyDescent="0.45">
      <c r="A43" s="5">
        <v>44254</v>
      </c>
      <c r="B43" s="18">
        <f t="shared" si="1"/>
        <v>2021</v>
      </c>
      <c r="C43" s="4" t="s">
        <v>191</v>
      </c>
      <c r="D43" s="8"/>
      <c r="E43" s="8" t="s">
        <v>250</v>
      </c>
      <c r="F43" s="8" t="s">
        <v>244</v>
      </c>
      <c r="G43" s="8" t="s">
        <v>20</v>
      </c>
      <c r="H43" s="8"/>
      <c r="I43" s="8"/>
      <c r="J43" s="8">
        <v>3.12</v>
      </c>
      <c r="K43" s="8">
        <v>3.93</v>
      </c>
      <c r="L43" s="8">
        <v>25</v>
      </c>
      <c r="M43" s="8"/>
      <c r="N43" s="8">
        <v>63797</v>
      </c>
      <c r="O43" s="8"/>
      <c r="P43" s="8"/>
      <c r="Q43" s="10">
        <v>7.013888888888889E-2</v>
      </c>
      <c r="R43" s="8"/>
      <c r="S43" s="8"/>
      <c r="T43" s="8">
        <v>2.08</v>
      </c>
      <c r="U43" s="8"/>
      <c r="V43" s="10">
        <v>9.5833333333333326E-2</v>
      </c>
      <c r="W43" s="15" t="s">
        <v>272</v>
      </c>
      <c r="X43" s="4"/>
      <c r="Y43" s="4" t="s">
        <v>294</v>
      </c>
    </row>
    <row r="44" spans="1:25" x14ac:dyDescent="0.45">
      <c r="A44" s="5">
        <v>44254</v>
      </c>
      <c r="B44" s="18">
        <f t="shared" si="1"/>
        <v>2021</v>
      </c>
      <c r="C44" s="4" t="s">
        <v>191</v>
      </c>
      <c r="D44" s="8"/>
      <c r="E44" s="8" t="s">
        <v>251</v>
      </c>
      <c r="F44" s="8" t="s">
        <v>244</v>
      </c>
      <c r="G44" s="8" t="s">
        <v>252</v>
      </c>
      <c r="H44" s="8"/>
      <c r="I44" s="8"/>
      <c r="J44" s="8">
        <v>3.38</v>
      </c>
      <c r="K44" s="8">
        <v>4.01</v>
      </c>
      <c r="L44" s="8"/>
      <c r="M44" s="8"/>
      <c r="N44" s="8"/>
      <c r="O44" s="8"/>
      <c r="P44" s="8"/>
      <c r="Q44" s="10">
        <v>0.11527777777777777</v>
      </c>
      <c r="R44" s="8"/>
      <c r="S44" s="8"/>
      <c r="T44" s="8"/>
      <c r="U44" s="8"/>
      <c r="V44" s="10">
        <v>0.1361111111111111</v>
      </c>
      <c r="W44" s="15" t="s">
        <v>271</v>
      </c>
      <c r="X44" s="4"/>
      <c r="Y44" s="4" t="s">
        <v>295</v>
      </c>
    </row>
    <row r="45" spans="1:25" x14ac:dyDescent="0.45">
      <c r="A45" s="5">
        <v>44254</v>
      </c>
      <c r="B45" s="18">
        <f t="shared" si="1"/>
        <v>2021</v>
      </c>
      <c r="C45" s="4" t="s">
        <v>191</v>
      </c>
      <c r="D45" s="8"/>
      <c r="E45" s="8" t="s">
        <v>253</v>
      </c>
      <c r="F45" s="8" t="s">
        <v>244</v>
      </c>
      <c r="G45" s="8" t="s">
        <v>20</v>
      </c>
      <c r="H45" s="8"/>
      <c r="I45" s="8">
        <v>3.14</v>
      </c>
      <c r="J45" s="8">
        <v>3.47</v>
      </c>
      <c r="K45" s="8" t="s">
        <v>254</v>
      </c>
      <c r="L45" s="8">
        <v>26</v>
      </c>
      <c r="M45" s="8"/>
      <c r="N45" s="8">
        <v>63806</v>
      </c>
      <c r="O45" s="8"/>
      <c r="P45" s="8"/>
      <c r="Q45" s="8" t="s">
        <v>270</v>
      </c>
      <c r="R45" s="8"/>
      <c r="S45" s="8"/>
      <c r="T45" s="10">
        <v>0.15138888888888888</v>
      </c>
      <c r="U45" s="8"/>
      <c r="V45" s="10">
        <v>0.16319444444444445</v>
      </c>
      <c r="W45" s="15" t="s">
        <v>277</v>
      </c>
      <c r="X45" s="4"/>
      <c r="Y45" s="4" t="s">
        <v>296</v>
      </c>
    </row>
    <row r="46" spans="1:25" x14ac:dyDescent="0.45">
      <c r="A46" s="5">
        <v>44256</v>
      </c>
      <c r="B46" s="18">
        <f t="shared" si="1"/>
        <v>2021</v>
      </c>
      <c r="C46" s="4" t="s">
        <v>191</v>
      </c>
      <c r="D46" s="8"/>
      <c r="E46" s="8" t="s">
        <v>255</v>
      </c>
      <c r="F46" s="8" t="s">
        <v>18</v>
      </c>
      <c r="G46" s="8" t="s">
        <v>20</v>
      </c>
      <c r="H46" s="8"/>
      <c r="I46" s="8"/>
      <c r="J46" s="8">
        <v>2.74</v>
      </c>
      <c r="K46" s="8" t="s">
        <v>256</v>
      </c>
      <c r="L46" s="8">
        <v>37</v>
      </c>
      <c r="M46" s="8"/>
      <c r="N46" s="8">
        <v>63817</v>
      </c>
      <c r="O46" s="8"/>
      <c r="P46" s="8"/>
      <c r="Q46" s="10">
        <v>0.41319444444444442</v>
      </c>
      <c r="R46" s="10">
        <v>0.41736111111111113</v>
      </c>
      <c r="S46" s="8"/>
      <c r="T46" s="10">
        <v>0.42222222222222222</v>
      </c>
      <c r="U46" s="8"/>
      <c r="V46" s="10">
        <v>0.42986111111111108</v>
      </c>
      <c r="W46" s="15" t="s">
        <v>273</v>
      </c>
      <c r="X46" s="4"/>
      <c r="Y46" s="4" t="s">
        <v>297</v>
      </c>
    </row>
    <row r="47" spans="1:25" x14ac:dyDescent="0.45">
      <c r="A47" s="5">
        <v>44256</v>
      </c>
      <c r="B47" s="18">
        <f t="shared" si="1"/>
        <v>2021</v>
      </c>
      <c r="C47" s="4" t="s">
        <v>191</v>
      </c>
      <c r="D47" s="8"/>
      <c r="E47" s="8" t="s">
        <v>257</v>
      </c>
      <c r="F47" s="8" t="s">
        <v>18</v>
      </c>
      <c r="G47" s="8" t="s">
        <v>20</v>
      </c>
      <c r="H47" s="8"/>
      <c r="I47" s="8"/>
      <c r="J47" s="8">
        <v>3.16</v>
      </c>
      <c r="K47" s="8">
        <v>3.88</v>
      </c>
      <c r="L47" s="8">
        <v>38</v>
      </c>
      <c r="M47" s="8"/>
      <c r="N47" s="8">
        <v>63818</v>
      </c>
      <c r="O47" s="8"/>
      <c r="P47" s="8"/>
      <c r="Q47" s="10">
        <v>0.41875000000000001</v>
      </c>
      <c r="R47" s="10">
        <v>0.43472222222222223</v>
      </c>
      <c r="S47" s="8"/>
      <c r="T47" s="10">
        <v>0.44305555555555554</v>
      </c>
      <c r="U47" s="8"/>
      <c r="V47" s="10">
        <v>0.45069444444444445</v>
      </c>
      <c r="W47" s="15" t="s">
        <v>278</v>
      </c>
      <c r="X47" s="4"/>
      <c r="Y47" s="4" t="s">
        <v>298</v>
      </c>
    </row>
    <row r="48" spans="1:25" x14ac:dyDescent="0.45">
      <c r="A48" s="5">
        <v>44256</v>
      </c>
      <c r="B48" s="18">
        <f t="shared" si="1"/>
        <v>2021</v>
      </c>
      <c r="C48" s="4" t="s">
        <v>191</v>
      </c>
      <c r="D48" s="8"/>
      <c r="E48" s="8" t="s">
        <v>258</v>
      </c>
      <c r="F48" s="8" t="s">
        <v>18</v>
      </c>
      <c r="G48" s="8" t="s">
        <v>20</v>
      </c>
      <c r="H48" s="8"/>
      <c r="I48" s="8"/>
      <c r="J48" s="8">
        <v>3.34</v>
      </c>
      <c r="K48" s="8">
        <v>4.1500000000000004</v>
      </c>
      <c r="L48" s="8">
        <v>39</v>
      </c>
      <c r="M48" s="8"/>
      <c r="N48" s="8">
        <v>63819</v>
      </c>
      <c r="O48" s="8"/>
      <c r="P48" s="8"/>
      <c r="Q48" s="10">
        <v>0.44236111111111115</v>
      </c>
      <c r="R48" s="10">
        <v>0.45555555555555555</v>
      </c>
      <c r="S48" s="8"/>
      <c r="T48" s="10">
        <v>0.46249999999999997</v>
      </c>
      <c r="U48" s="8"/>
      <c r="V48" s="10">
        <v>0.4694444444444445</v>
      </c>
      <c r="W48" s="15" t="s">
        <v>278</v>
      </c>
      <c r="X48" s="4"/>
      <c r="Y48" s="4" t="s">
        <v>299</v>
      </c>
    </row>
    <row r="49" spans="1:25" x14ac:dyDescent="0.45">
      <c r="A49" s="5">
        <v>44256</v>
      </c>
      <c r="B49" s="18">
        <f t="shared" si="1"/>
        <v>2021</v>
      </c>
      <c r="C49" s="4" t="s">
        <v>191</v>
      </c>
      <c r="D49" s="8"/>
      <c r="E49" s="8" t="s">
        <v>219</v>
      </c>
      <c r="F49" s="8" t="s">
        <v>18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4"/>
      <c r="Y49" s="4" t="s">
        <v>300</v>
      </c>
    </row>
    <row r="50" spans="1:25" x14ac:dyDescent="0.45">
      <c r="A50" s="5">
        <v>44256</v>
      </c>
      <c r="B50" s="18">
        <f t="shared" si="1"/>
        <v>2021</v>
      </c>
      <c r="C50" s="4" t="s">
        <v>191</v>
      </c>
      <c r="D50" s="8"/>
      <c r="E50" s="8" t="s">
        <v>259</v>
      </c>
      <c r="F50" s="8" t="s">
        <v>18</v>
      </c>
      <c r="G50" s="8" t="s">
        <v>20</v>
      </c>
      <c r="H50" s="8"/>
      <c r="I50" s="8"/>
      <c r="J50" s="8">
        <v>2.92</v>
      </c>
      <c r="K50" s="8">
        <v>3.72</v>
      </c>
      <c r="L50" s="8">
        <v>40</v>
      </c>
      <c r="M50" s="8"/>
      <c r="N50" s="8">
        <v>63820</v>
      </c>
      <c r="O50" s="8"/>
      <c r="P50" s="8"/>
      <c r="Q50" s="10">
        <v>0.48402777777777778</v>
      </c>
      <c r="R50" s="10">
        <v>0.48958333333333331</v>
      </c>
      <c r="S50" s="8"/>
      <c r="T50" s="10">
        <v>0.50277777777777777</v>
      </c>
      <c r="U50" s="8"/>
      <c r="V50" s="10">
        <v>0.51111111111111118</v>
      </c>
      <c r="W50" s="15" t="s">
        <v>278</v>
      </c>
      <c r="X50" s="4"/>
      <c r="Y50" s="4" t="s">
        <v>301</v>
      </c>
    </row>
    <row r="51" spans="1:25" x14ac:dyDescent="0.45">
      <c r="A51" s="5">
        <v>44256</v>
      </c>
      <c r="B51" s="18">
        <f t="shared" si="1"/>
        <v>2021</v>
      </c>
      <c r="C51" s="4" t="s">
        <v>191</v>
      </c>
      <c r="D51" s="8"/>
      <c r="E51" s="8" t="s">
        <v>260</v>
      </c>
      <c r="F51" s="8" t="s">
        <v>18</v>
      </c>
      <c r="G51" s="8" t="s">
        <v>20</v>
      </c>
      <c r="H51" s="8"/>
      <c r="I51" s="8"/>
      <c r="J51" s="8">
        <v>3.29</v>
      </c>
      <c r="K51" s="8">
        <v>3.77</v>
      </c>
      <c r="L51" s="8">
        <v>41</v>
      </c>
      <c r="M51" s="8"/>
      <c r="N51" s="8">
        <v>63821</v>
      </c>
      <c r="O51" s="8"/>
      <c r="P51" s="8"/>
      <c r="Q51" s="10">
        <v>0.48958333333333331</v>
      </c>
      <c r="R51" s="10">
        <v>0.51458333333333328</v>
      </c>
      <c r="S51" s="8"/>
      <c r="T51" s="10">
        <v>0.52222222222222225</v>
      </c>
      <c r="U51" s="8"/>
      <c r="V51" s="10">
        <v>0.53055555555555556</v>
      </c>
      <c r="W51" s="15" t="s">
        <v>271</v>
      </c>
      <c r="X51" s="4"/>
      <c r="Y51" s="4" t="s">
        <v>302</v>
      </c>
    </row>
    <row r="52" spans="1:25" x14ac:dyDescent="0.45">
      <c r="A52" s="5">
        <v>44257</v>
      </c>
      <c r="B52" s="18">
        <f t="shared" si="1"/>
        <v>2021</v>
      </c>
      <c r="C52" s="4" t="s">
        <v>191</v>
      </c>
      <c r="D52" s="8"/>
      <c r="E52" s="8" t="s">
        <v>261</v>
      </c>
      <c r="F52" s="8" t="s">
        <v>18</v>
      </c>
      <c r="G52" s="8" t="s">
        <v>20</v>
      </c>
      <c r="H52" s="8"/>
      <c r="I52" s="8"/>
      <c r="J52" s="8">
        <v>2.75</v>
      </c>
      <c r="K52" s="8">
        <v>3.42</v>
      </c>
      <c r="L52" s="8">
        <v>42</v>
      </c>
      <c r="M52" s="8"/>
      <c r="N52" s="8">
        <v>63822</v>
      </c>
      <c r="O52" s="8"/>
      <c r="P52" s="8"/>
      <c r="Q52" s="10">
        <v>0.4236111111111111</v>
      </c>
      <c r="R52" s="10">
        <v>0.42777777777777781</v>
      </c>
      <c r="S52" s="8"/>
      <c r="T52" s="10">
        <v>0.4368055555555555</v>
      </c>
      <c r="U52" s="8"/>
      <c r="V52" s="10">
        <v>0.44375000000000003</v>
      </c>
      <c r="W52" s="15" t="s">
        <v>272</v>
      </c>
      <c r="X52" s="4"/>
      <c r="Y52" s="4" t="s">
        <v>303</v>
      </c>
    </row>
    <row r="53" spans="1:25" x14ac:dyDescent="0.45">
      <c r="A53" s="5">
        <v>44257</v>
      </c>
      <c r="B53" s="18">
        <f t="shared" si="1"/>
        <v>2021</v>
      </c>
      <c r="C53" s="4" t="s">
        <v>191</v>
      </c>
      <c r="D53" s="8"/>
      <c r="E53" s="8" t="s">
        <v>262</v>
      </c>
      <c r="F53" s="8" t="s">
        <v>18</v>
      </c>
      <c r="G53" s="8" t="s">
        <v>20</v>
      </c>
      <c r="H53" s="8"/>
      <c r="I53" s="8">
        <v>3.3</v>
      </c>
      <c r="J53" s="8"/>
      <c r="K53" s="8" t="s">
        <v>263</v>
      </c>
      <c r="L53" s="8">
        <v>43</v>
      </c>
      <c r="M53" s="8"/>
      <c r="N53" s="8">
        <v>63823</v>
      </c>
      <c r="O53" s="8"/>
      <c r="P53" s="8"/>
      <c r="Q53" s="10">
        <v>0.43124999999999997</v>
      </c>
      <c r="R53" s="10">
        <v>0.4513888888888889</v>
      </c>
      <c r="S53" s="8"/>
      <c r="T53" s="8"/>
      <c r="U53" s="8"/>
      <c r="V53" s="10">
        <v>0.47083333333333338</v>
      </c>
      <c r="W53" s="15" t="s">
        <v>276</v>
      </c>
      <c r="X53" s="4"/>
      <c r="Y53" s="4" t="s">
        <v>304</v>
      </c>
    </row>
    <row r="54" spans="1:25" x14ac:dyDescent="0.45">
      <c r="A54" s="5">
        <v>44257</v>
      </c>
      <c r="B54" s="18">
        <f t="shared" si="1"/>
        <v>2021</v>
      </c>
      <c r="C54" s="4" t="s">
        <v>191</v>
      </c>
      <c r="D54" s="8"/>
      <c r="E54" s="8" t="s">
        <v>264</v>
      </c>
      <c r="F54" s="8" t="s">
        <v>18</v>
      </c>
      <c r="G54" s="8" t="s">
        <v>20</v>
      </c>
      <c r="H54" s="8"/>
      <c r="I54" s="8"/>
      <c r="J54" s="8">
        <v>3.22</v>
      </c>
      <c r="K54" s="8">
        <v>3.92</v>
      </c>
      <c r="L54" s="8">
        <v>44</v>
      </c>
      <c r="M54" s="8"/>
      <c r="N54" s="8">
        <v>63824</v>
      </c>
      <c r="O54" s="8"/>
      <c r="P54" s="8"/>
      <c r="Q54" s="10">
        <v>0.48819444444444443</v>
      </c>
      <c r="R54" s="10">
        <v>0.49374999999999997</v>
      </c>
      <c r="S54" s="8"/>
      <c r="T54" s="10">
        <v>0.50138888888888888</v>
      </c>
      <c r="U54" s="8"/>
      <c r="V54" s="10">
        <v>0.50972222222222219</v>
      </c>
      <c r="W54" s="15" t="s">
        <v>274</v>
      </c>
      <c r="X54" s="4"/>
      <c r="Y54" s="4" t="s">
        <v>305</v>
      </c>
    </row>
    <row r="55" spans="1:25" x14ac:dyDescent="0.45">
      <c r="A55" s="5">
        <v>44257</v>
      </c>
      <c r="B55" s="18">
        <f t="shared" si="1"/>
        <v>2021</v>
      </c>
      <c r="C55" s="4" t="s">
        <v>191</v>
      </c>
      <c r="D55" s="8"/>
      <c r="E55" s="8" t="s">
        <v>265</v>
      </c>
      <c r="F55" s="8" t="s">
        <v>18</v>
      </c>
      <c r="G55" s="8" t="s">
        <v>20</v>
      </c>
      <c r="H55" s="8"/>
      <c r="I55" s="8"/>
      <c r="J55" s="8">
        <v>3.17</v>
      </c>
      <c r="K55" s="8">
        <v>3.73</v>
      </c>
      <c r="L55" s="8">
        <v>45</v>
      </c>
      <c r="M55" s="8"/>
      <c r="N55" s="8">
        <v>63825</v>
      </c>
      <c r="O55" s="8"/>
      <c r="P55" s="8"/>
      <c r="Q55" s="8"/>
      <c r="R55" s="10">
        <v>0.51458333333333328</v>
      </c>
      <c r="S55" s="8"/>
      <c r="T55" s="10">
        <v>0.52013888888888882</v>
      </c>
      <c r="U55" s="8"/>
      <c r="V55" s="10">
        <v>0.52986111111111112</v>
      </c>
      <c r="W55" s="15" t="s">
        <v>276</v>
      </c>
      <c r="X55" s="4"/>
      <c r="Y55" s="4" t="s">
        <v>306</v>
      </c>
    </row>
    <row r="56" spans="1:25" x14ac:dyDescent="0.45">
      <c r="A56" s="5">
        <v>44257</v>
      </c>
      <c r="B56" s="18">
        <f t="shared" si="1"/>
        <v>2021</v>
      </c>
      <c r="C56" s="4" t="s">
        <v>191</v>
      </c>
      <c r="D56" s="8"/>
      <c r="E56" s="8" t="s">
        <v>266</v>
      </c>
      <c r="F56" s="8" t="s">
        <v>18</v>
      </c>
      <c r="G56" s="8" t="s">
        <v>20</v>
      </c>
      <c r="H56" s="8"/>
      <c r="I56" s="8"/>
      <c r="J56" s="8">
        <v>2.98</v>
      </c>
      <c r="K56" s="8">
        <v>3.7</v>
      </c>
      <c r="L56" s="8">
        <v>46</v>
      </c>
      <c r="M56" s="8"/>
      <c r="N56" s="8">
        <v>63826</v>
      </c>
      <c r="O56" s="8"/>
      <c r="P56" s="8"/>
      <c r="Q56" s="10">
        <v>0.53472222222222221</v>
      </c>
      <c r="R56" s="10">
        <v>0.53819444444444442</v>
      </c>
      <c r="S56" s="8"/>
      <c r="T56" s="10">
        <v>4.9305555555555554E-2</v>
      </c>
      <c r="U56" s="8"/>
      <c r="V56" s="10">
        <v>5.7638888888888885E-2</v>
      </c>
      <c r="W56" s="15" t="s">
        <v>272</v>
      </c>
      <c r="X56" s="4"/>
      <c r="Y56" s="4" t="s">
        <v>307</v>
      </c>
    </row>
    <row r="57" spans="1:25" x14ac:dyDescent="0.45">
      <c r="A57" s="5">
        <v>44257</v>
      </c>
      <c r="B57" s="18">
        <f t="shared" si="1"/>
        <v>2021</v>
      </c>
      <c r="C57" s="4" t="s">
        <v>191</v>
      </c>
      <c r="D57" s="8"/>
      <c r="E57" s="8" t="s">
        <v>267</v>
      </c>
      <c r="F57" s="8" t="s">
        <v>18</v>
      </c>
      <c r="G57" s="8" t="s">
        <v>20</v>
      </c>
      <c r="H57" s="8"/>
      <c r="I57" s="8"/>
      <c r="J57" s="8">
        <v>3.64</v>
      </c>
      <c r="K57" s="8">
        <v>4.4400000000000004</v>
      </c>
      <c r="L57" s="8">
        <v>47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4"/>
      <c r="Y57" s="4"/>
    </row>
    <row r="58" spans="1:25" x14ac:dyDescent="0.45">
      <c r="A58" s="5">
        <v>44261</v>
      </c>
      <c r="B58" s="18">
        <f t="shared" si="1"/>
        <v>2021</v>
      </c>
      <c r="C58" s="4" t="s">
        <v>191</v>
      </c>
      <c r="D58" s="8"/>
      <c r="E58" s="8" t="s">
        <v>268</v>
      </c>
      <c r="F58" s="8" t="s">
        <v>18</v>
      </c>
      <c r="G58" s="8" t="s">
        <v>20</v>
      </c>
      <c r="H58" s="8"/>
      <c r="I58" s="8">
        <v>3.33</v>
      </c>
      <c r="J58" s="8">
        <v>3.68</v>
      </c>
      <c r="K58" s="8" t="s">
        <v>104</v>
      </c>
      <c r="L58" s="8"/>
      <c r="M58" s="8"/>
      <c r="N58" s="8"/>
      <c r="O58" s="8"/>
      <c r="P58" s="8"/>
      <c r="Q58" s="8"/>
      <c r="R58" s="10">
        <v>0.43472222222222223</v>
      </c>
      <c r="S58" s="8"/>
      <c r="T58" s="10">
        <v>0.45277777777777778</v>
      </c>
      <c r="U58" s="8"/>
      <c r="V58" s="10">
        <v>0.46180555555555558</v>
      </c>
      <c r="W58" s="15" t="s">
        <v>276</v>
      </c>
      <c r="X58" s="4"/>
      <c r="Y58" s="4" t="s">
        <v>308</v>
      </c>
    </row>
    <row r="59" spans="1:25" x14ac:dyDescent="0.45">
      <c r="A59" s="5">
        <v>44261</v>
      </c>
      <c r="B59" s="18">
        <f t="shared" si="1"/>
        <v>2021</v>
      </c>
      <c r="C59" s="4" t="s">
        <v>191</v>
      </c>
      <c r="D59" s="8"/>
      <c r="E59" s="8" t="s">
        <v>269</v>
      </c>
      <c r="F59" s="8" t="s">
        <v>18</v>
      </c>
      <c r="G59" s="8" t="s">
        <v>20</v>
      </c>
      <c r="H59" s="8"/>
      <c r="I59" s="8"/>
      <c r="J59" s="8">
        <v>3.15</v>
      </c>
      <c r="K59" s="8">
        <v>3.84</v>
      </c>
      <c r="L59" s="8"/>
      <c r="M59" s="8"/>
      <c r="N59" s="8"/>
      <c r="O59" s="8"/>
      <c r="P59" s="8"/>
      <c r="Q59" s="8"/>
      <c r="R59" s="10">
        <v>0.47361111111111115</v>
      </c>
      <c r="S59" s="8"/>
      <c r="T59" s="10">
        <v>0.48749999999999999</v>
      </c>
      <c r="U59" s="8"/>
      <c r="V59" s="10">
        <v>0.49374999999999997</v>
      </c>
      <c r="W59" s="15" t="s">
        <v>275</v>
      </c>
      <c r="X59" s="4"/>
      <c r="Y59" s="4" t="s">
        <v>309</v>
      </c>
    </row>
    <row r="60" spans="1:25" x14ac:dyDescent="0.45">
      <c r="A60" s="5">
        <v>43880</v>
      </c>
      <c r="B60" s="18">
        <f t="shared" si="1"/>
        <v>2020</v>
      </c>
      <c r="C60" s="4" t="s">
        <v>191</v>
      </c>
      <c r="D60" s="13"/>
      <c r="E60" s="8" t="s">
        <v>310</v>
      </c>
      <c r="F60" s="8" t="s">
        <v>18</v>
      </c>
      <c r="G60" s="8" t="s">
        <v>20</v>
      </c>
      <c r="H60" s="8"/>
      <c r="I60" s="8">
        <v>2.84</v>
      </c>
      <c r="J60" s="8">
        <v>3.12</v>
      </c>
      <c r="K60" s="8">
        <v>3.8</v>
      </c>
      <c r="L60" s="8">
        <v>221</v>
      </c>
      <c r="M60" s="8" t="s">
        <v>97</v>
      </c>
      <c r="N60" s="8" t="s">
        <v>97</v>
      </c>
      <c r="O60" s="8"/>
      <c r="P60" s="8"/>
      <c r="Q60" s="8"/>
      <c r="R60" s="8"/>
      <c r="S60" s="8"/>
      <c r="T60" s="8"/>
      <c r="U60" s="8"/>
      <c r="V60" s="8"/>
      <c r="W60" s="8" t="s">
        <v>381</v>
      </c>
      <c r="X60" s="4"/>
      <c r="Y60" s="4" t="s">
        <v>382</v>
      </c>
    </row>
    <row r="61" spans="1:25" x14ac:dyDescent="0.45">
      <c r="A61" s="5">
        <v>43880</v>
      </c>
      <c r="B61" s="18">
        <f t="shared" si="1"/>
        <v>2020</v>
      </c>
      <c r="C61" s="4" t="s">
        <v>191</v>
      </c>
      <c r="D61" s="13"/>
      <c r="E61" s="8" t="s">
        <v>311</v>
      </c>
      <c r="F61" s="8" t="s">
        <v>18</v>
      </c>
      <c r="G61" s="8" t="s">
        <v>20</v>
      </c>
      <c r="H61" s="8"/>
      <c r="I61" s="8">
        <v>2.65</v>
      </c>
      <c r="J61" s="8">
        <v>2.8</v>
      </c>
      <c r="K61" s="8">
        <v>3.1</v>
      </c>
      <c r="L61" s="8">
        <v>222</v>
      </c>
      <c r="M61" s="8" t="s">
        <v>97</v>
      </c>
      <c r="N61" s="8" t="s">
        <v>97</v>
      </c>
      <c r="O61" s="8"/>
      <c r="P61" s="8"/>
      <c r="Q61" s="8"/>
      <c r="R61" s="8"/>
      <c r="S61" s="8"/>
      <c r="T61" s="8"/>
      <c r="U61" s="8"/>
      <c r="V61" s="8"/>
      <c r="W61" s="8">
        <v>3</v>
      </c>
      <c r="X61" s="4"/>
      <c r="Y61" s="4" t="s">
        <v>383</v>
      </c>
    </row>
    <row r="62" spans="1:25" x14ac:dyDescent="0.45">
      <c r="A62" s="5">
        <v>43880</v>
      </c>
      <c r="B62" s="18">
        <f t="shared" si="1"/>
        <v>2020</v>
      </c>
      <c r="C62" s="4" t="s">
        <v>191</v>
      </c>
      <c r="D62" s="13"/>
      <c r="E62" s="8" t="s">
        <v>312</v>
      </c>
      <c r="F62" s="8" t="s">
        <v>18</v>
      </c>
      <c r="G62" s="8" t="s">
        <v>20</v>
      </c>
      <c r="H62" s="8"/>
      <c r="I62" s="8">
        <v>3.04</v>
      </c>
      <c r="J62" s="8">
        <v>3.29</v>
      </c>
      <c r="K62" s="8">
        <v>4.05</v>
      </c>
      <c r="L62" s="8">
        <v>223</v>
      </c>
      <c r="M62" s="8" t="s">
        <v>97</v>
      </c>
      <c r="N62" s="8" t="s">
        <v>97</v>
      </c>
      <c r="O62" s="8"/>
      <c r="P62" s="8"/>
      <c r="Q62" s="8"/>
      <c r="R62" s="8"/>
      <c r="S62" s="8"/>
      <c r="T62" s="8"/>
      <c r="U62" s="8"/>
      <c r="V62" s="8"/>
      <c r="W62" s="8">
        <v>2</v>
      </c>
      <c r="X62" s="4"/>
      <c r="Y62" s="4" t="s">
        <v>384</v>
      </c>
    </row>
    <row r="63" spans="1:25" x14ac:dyDescent="0.45">
      <c r="A63" s="5">
        <v>43880</v>
      </c>
      <c r="B63" s="18">
        <f t="shared" si="1"/>
        <v>2020</v>
      </c>
      <c r="C63" s="4" t="s">
        <v>191</v>
      </c>
      <c r="D63" s="13"/>
      <c r="E63" s="8" t="s">
        <v>313</v>
      </c>
      <c r="F63" s="8" t="s">
        <v>18</v>
      </c>
      <c r="G63" s="8" t="s">
        <v>20</v>
      </c>
      <c r="H63" s="8"/>
      <c r="I63" s="8">
        <v>2.15</v>
      </c>
      <c r="J63" s="8">
        <v>2.4300000000000002</v>
      </c>
      <c r="K63" s="8">
        <v>2.86</v>
      </c>
      <c r="L63" s="8" t="s">
        <v>314</v>
      </c>
      <c r="M63" s="8" t="s">
        <v>97</v>
      </c>
      <c r="N63" s="8" t="s">
        <v>97</v>
      </c>
      <c r="O63" s="8"/>
      <c r="P63" s="8"/>
      <c r="Q63" s="8"/>
      <c r="R63" s="8"/>
      <c r="S63" s="8"/>
      <c r="T63" s="8"/>
      <c r="U63" s="8"/>
      <c r="V63" s="8"/>
      <c r="W63" s="8">
        <v>3</v>
      </c>
      <c r="X63" s="4"/>
      <c r="Y63" s="4" t="s">
        <v>385</v>
      </c>
    </row>
    <row r="64" spans="1:25" ht="15.75" x14ac:dyDescent="0.5">
      <c r="A64" s="5">
        <v>43880</v>
      </c>
      <c r="B64" s="18">
        <f t="shared" si="1"/>
        <v>2020</v>
      </c>
      <c r="C64" s="4" t="s">
        <v>191</v>
      </c>
      <c r="D64" s="30" t="s">
        <v>315</v>
      </c>
      <c r="E64" s="8" t="s">
        <v>316</v>
      </c>
      <c r="F64" s="8" t="s">
        <v>18</v>
      </c>
      <c r="G64" s="8" t="s">
        <v>20</v>
      </c>
      <c r="H64" s="8"/>
      <c r="I64" s="8">
        <v>2.8</v>
      </c>
      <c r="J64" s="8">
        <v>3.1</v>
      </c>
      <c r="K64" s="8">
        <v>3.8</v>
      </c>
      <c r="L64" s="8">
        <v>224</v>
      </c>
      <c r="M64" s="8">
        <v>178956</v>
      </c>
      <c r="N64" s="8" t="s">
        <v>371</v>
      </c>
      <c r="O64" s="8"/>
      <c r="P64" s="8"/>
      <c r="Q64" s="8"/>
      <c r="R64" s="8"/>
      <c r="S64" s="8"/>
      <c r="T64" s="8"/>
      <c r="U64" s="8"/>
      <c r="V64" s="8"/>
      <c r="W64" s="8">
        <v>2</v>
      </c>
      <c r="X64" s="4"/>
      <c r="Y64" s="4" t="s">
        <v>386</v>
      </c>
    </row>
    <row r="65" spans="1:25" x14ac:dyDescent="0.45">
      <c r="A65" s="5">
        <v>43880</v>
      </c>
      <c r="B65" s="18">
        <f t="shared" si="1"/>
        <v>2020</v>
      </c>
      <c r="C65" s="4" t="s">
        <v>191</v>
      </c>
      <c r="D65" s="13"/>
      <c r="E65" s="8" t="s">
        <v>317</v>
      </c>
      <c r="F65" s="8" t="s">
        <v>18</v>
      </c>
      <c r="G65" s="8" t="s">
        <v>20</v>
      </c>
      <c r="H65" s="8"/>
      <c r="I65" s="8">
        <v>3.27</v>
      </c>
      <c r="J65" s="8">
        <v>3.56</v>
      </c>
      <c r="K65" s="8">
        <v>4.3</v>
      </c>
      <c r="L65" s="8">
        <v>225</v>
      </c>
      <c r="M65" s="8" t="s">
        <v>97</v>
      </c>
      <c r="N65" s="8" t="s">
        <v>97</v>
      </c>
      <c r="O65" s="8"/>
      <c r="P65" s="8"/>
      <c r="Q65" s="8"/>
      <c r="R65" s="8"/>
      <c r="S65" s="8"/>
      <c r="T65" s="8"/>
      <c r="U65" s="8"/>
      <c r="V65" s="8"/>
      <c r="W65" s="8">
        <v>4</v>
      </c>
      <c r="X65" s="4"/>
      <c r="Y65" s="4" t="s">
        <v>387</v>
      </c>
    </row>
    <row r="66" spans="1:25" x14ac:dyDescent="0.45">
      <c r="A66" s="5">
        <v>43881</v>
      </c>
      <c r="B66" s="18">
        <f t="shared" ref="B66:B97" si="2">YEAR(A66)</f>
        <v>2020</v>
      </c>
      <c r="C66" s="4" t="s">
        <v>191</v>
      </c>
      <c r="D66" s="13"/>
      <c r="E66" s="8" t="s">
        <v>318</v>
      </c>
      <c r="F66" s="8" t="s">
        <v>18</v>
      </c>
      <c r="G66" s="8" t="s">
        <v>20</v>
      </c>
      <c r="H66" s="8"/>
      <c r="I66" s="8"/>
      <c r="J66" s="8"/>
      <c r="K66" s="8">
        <v>3.8</v>
      </c>
      <c r="L66" s="8" t="s">
        <v>314</v>
      </c>
      <c r="M66" s="8" t="s">
        <v>97</v>
      </c>
      <c r="N66" s="8" t="s">
        <v>97</v>
      </c>
      <c r="O66" s="8"/>
      <c r="P66" s="8"/>
      <c r="Q66" s="8"/>
      <c r="R66" s="8"/>
      <c r="S66" s="8"/>
      <c r="T66" s="8"/>
      <c r="U66" s="8"/>
      <c r="V66" s="8"/>
      <c r="W66" s="8">
        <v>3</v>
      </c>
      <c r="X66" s="4"/>
      <c r="Y66" s="4" t="s">
        <v>388</v>
      </c>
    </row>
    <row r="67" spans="1:25" x14ac:dyDescent="0.45">
      <c r="A67" s="5">
        <v>43881</v>
      </c>
      <c r="B67" s="18">
        <f t="shared" si="2"/>
        <v>2020</v>
      </c>
      <c r="C67" s="4" t="s">
        <v>191</v>
      </c>
      <c r="D67" s="13"/>
      <c r="E67" s="8" t="s">
        <v>319</v>
      </c>
      <c r="F67" s="8" t="s">
        <v>18</v>
      </c>
      <c r="G67" s="8" t="s">
        <v>20</v>
      </c>
      <c r="H67" s="8"/>
      <c r="I67" s="8">
        <v>2.75</v>
      </c>
      <c r="J67" s="8">
        <v>3.04</v>
      </c>
      <c r="K67" s="8">
        <v>3.6</v>
      </c>
      <c r="L67" s="8">
        <v>226</v>
      </c>
      <c r="M67" s="8" t="s">
        <v>97</v>
      </c>
      <c r="N67" s="8" t="s">
        <v>97</v>
      </c>
      <c r="O67" s="8"/>
      <c r="P67" s="8"/>
      <c r="Q67" s="8"/>
      <c r="R67" s="8"/>
      <c r="S67" s="8"/>
      <c r="T67" s="8"/>
      <c r="U67" s="8"/>
      <c r="V67" s="8"/>
      <c r="W67" s="8">
        <v>2</v>
      </c>
      <c r="X67" s="4"/>
      <c r="Y67" s="4" t="s">
        <v>389</v>
      </c>
    </row>
    <row r="68" spans="1:25" x14ac:dyDescent="0.45">
      <c r="A68" s="5">
        <v>43881</v>
      </c>
      <c r="B68" s="18">
        <f t="shared" si="2"/>
        <v>2020</v>
      </c>
      <c r="C68" s="4" t="s">
        <v>191</v>
      </c>
      <c r="D68" s="13"/>
      <c r="E68" s="8" t="s">
        <v>320</v>
      </c>
      <c r="F68" s="8" t="s">
        <v>18</v>
      </c>
      <c r="G68" s="8" t="s">
        <v>20</v>
      </c>
      <c r="H68" s="8"/>
      <c r="I68" s="8">
        <v>3.18</v>
      </c>
      <c r="J68" s="8">
        <v>3.48</v>
      </c>
      <c r="K68" s="8">
        <v>3.98</v>
      </c>
      <c r="L68" s="8">
        <v>227</v>
      </c>
      <c r="M68" s="8" t="s">
        <v>97</v>
      </c>
      <c r="N68" s="8" t="s">
        <v>97</v>
      </c>
      <c r="O68" s="8"/>
      <c r="P68" s="8"/>
      <c r="Q68" s="8"/>
      <c r="R68" s="8"/>
      <c r="S68" s="8"/>
      <c r="T68" s="8"/>
      <c r="U68" s="8"/>
      <c r="V68" s="8"/>
      <c r="W68" s="8" t="s">
        <v>390</v>
      </c>
      <c r="X68" s="4"/>
      <c r="Y68" s="4" t="s">
        <v>391</v>
      </c>
    </row>
    <row r="69" spans="1:25" x14ac:dyDescent="0.45">
      <c r="A69" s="5">
        <v>43881</v>
      </c>
      <c r="B69" s="18">
        <f t="shared" si="2"/>
        <v>2020</v>
      </c>
      <c r="C69" s="4" t="s">
        <v>191</v>
      </c>
      <c r="D69" s="13"/>
      <c r="E69" s="8" t="s">
        <v>321</v>
      </c>
      <c r="F69" s="8" t="s">
        <v>18</v>
      </c>
      <c r="G69" s="8" t="s">
        <v>20</v>
      </c>
      <c r="H69" s="8"/>
      <c r="I69" s="8">
        <v>3.1</v>
      </c>
      <c r="J69" s="8">
        <v>3.38</v>
      </c>
      <c r="K69" s="8">
        <v>4.0999999999999996</v>
      </c>
      <c r="L69" s="8">
        <v>228</v>
      </c>
      <c r="M69" s="8" t="s">
        <v>97</v>
      </c>
      <c r="N69" s="8" t="s">
        <v>372</v>
      </c>
      <c r="O69" s="8"/>
      <c r="P69" s="8"/>
      <c r="Q69" s="8"/>
      <c r="R69" s="8"/>
      <c r="S69" s="8"/>
      <c r="T69" s="8"/>
      <c r="U69" s="8"/>
      <c r="V69" s="8"/>
      <c r="W69" s="8">
        <v>2</v>
      </c>
      <c r="X69" s="4"/>
      <c r="Y69" s="4" t="s">
        <v>392</v>
      </c>
    </row>
    <row r="70" spans="1:25" x14ac:dyDescent="0.45">
      <c r="A70" s="5">
        <v>43881</v>
      </c>
      <c r="B70" s="18">
        <f t="shared" si="2"/>
        <v>2020</v>
      </c>
      <c r="C70" s="4" t="s">
        <v>191</v>
      </c>
      <c r="D70" s="13"/>
      <c r="E70" s="8" t="s">
        <v>322</v>
      </c>
      <c r="F70" s="8" t="s">
        <v>18</v>
      </c>
      <c r="G70" s="8" t="s">
        <v>20</v>
      </c>
      <c r="H70" s="8"/>
      <c r="I70" s="8">
        <v>2.96</v>
      </c>
      <c r="J70" s="8">
        <v>3.25</v>
      </c>
      <c r="K70" s="8">
        <v>3.93</v>
      </c>
      <c r="L70" s="8">
        <v>229</v>
      </c>
      <c r="M70" s="8" t="s">
        <v>97</v>
      </c>
      <c r="N70" s="8" t="s">
        <v>373</v>
      </c>
      <c r="O70" s="8"/>
      <c r="P70" s="8"/>
      <c r="Q70" s="8"/>
      <c r="R70" s="8"/>
      <c r="S70" s="8"/>
      <c r="T70" s="8"/>
      <c r="U70" s="8"/>
      <c r="V70" s="8"/>
      <c r="W70" s="8">
        <v>3</v>
      </c>
      <c r="X70" s="4"/>
      <c r="Y70" s="4" t="s">
        <v>393</v>
      </c>
    </row>
    <row r="71" spans="1:25" x14ac:dyDescent="0.45">
      <c r="A71" s="5">
        <v>43881</v>
      </c>
      <c r="B71" s="18">
        <f t="shared" si="2"/>
        <v>2020</v>
      </c>
      <c r="C71" s="4" t="s">
        <v>191</v>
      </c>
      <c r="D71" s="13"/>
      <c r="E71" s="8" t="s">
        <v>323</v>
      </c>
      <c r="F71" s="8" t="s">
        <v>18</v>
      </c>
      <c r="G71" s="8" t="s">
        <v>20</v>
      </c>
      <c r="H71" s="8"/>
      <c r="I71" s="8">
        <v>3.24</v>
      </c>
      <c r="J71" s="8">
        <v>3.5</v>
      </c>
      <c r="K71" s="8">
        <v>4.0999999999999996</v>
      </c>
      <c r="L71" s="8">
        <v>230</v>
      </c>
      <c r="M71" s="8" t="s">
        <v>97</v>
      </c>
      <c r="N71" s="8" t="s">
        <v>374</v>
      </c>
      <c r="O71" s="8"/>
      <c r="P71" s="8"/>
      <c r="Q71" s="8"/>
      <c r="R71" s="8"/>
      <c r="S71" s="8"/>
      <c r="T71" s="8"/>
      <c r="U71" s="8"/>
      <c r="V71" s="8"/>
      <c r="W71" s="8" t="s">
        <v>394</v>
      </c>
      <c r="X71" s="4"/>
      <c r="Y71" s="4" t="s">
        <v>395</v>
      </c>
    </row>
    <row r="72" spans="1:25" x14ac:dyDescent="0.45">
      <c r="A72" s="5">
        <v>43882</v>
      </c>
      <c r="B72" s="18">
        <f t="shared" si="2"/>
        <v>2020</v>
      </c>
      <c r="C72" s="4" t="s">
        <v>191</v>
      </c>
      <c r="D72" s="13"/>
      <c r="E72" s="8" t="s">
        <v>324</v>
      </c>
      <c r="F72" s="8" t="s">
        <v>18</v>
      </c>
      <c r="G72" s="8" t="s">
        <v>20</v>
      </c>
      <c r="H72" s="8"/>
      <c r="I72" s="8">
        <v>2.9</v>
      </c>
      <c r="J72" s="8">
        <v>3.16</v>
      </c>
      <c r="K72" s="8">
        <v>3.93</v>
      </c>
      <c r="L72" s="8">
        <v>231</v>
      </c>
      <c r="M72" s="8" t="s">
        <v>97</v>
      </c>
      <c r="N72" s="8" t="s">
        <v>375</v>
      </c>
      <c r="O72" s="8"/>
      <c r="P72" s="8"/>
      <c r="Q72" s="8"/>
      <c r="R72" s="8"/>
      <c r="S72" s="8"/>
      <c r="T72" s="8"/>
      <c r="U72" s="8"/>
      <c r="V72" s="8"/>
      <c r="W72" s="8">
        <v>2</v>
      </c>
      <c r="X72" s="4"/>
      <c r="Y72" s="4" t="s">
        <v>396</v>
      </c>
    </row>
    <row r="73" spans="1:25" x14ac:dyDescent="0.45">
      <c r="A73" s="5">
        <v>43882</v>
      </c>
      <c r="B73" s="18">
        <f t="shared" si="2"/>
        <v>2020</v>
      </c>
      <c r="C73" s="4" t="s">
        <v>191</v>
      </c>
      <c r="D73" s="13"/>
      <c r="E73" s="8" t="s">
        <v>325</v>
      </c>
      <c r="F73" s="8" t="s">
        <v>18</v>
      </c>
      <c r="G73" s="8" t="s">
        <v>20</v>
      </c>
      <c r="H73" s="8"/>
      <c r="I73" s="8">
        <v>2.89</v>
      </c>
      <c r="J73" s="8">
        <v>3.18</v>
      </c>
      <c r="K73" s="8">
        <v>3.9</v>
      </c>
      <c r="L73" s="8">
        <v>232</v>
      </c>
      <c r="M73" s="8" t="s">
        <v>97</v>
      </c>
      <c r="N73" s="8" t="s">
        <v>376</v>
      </c>
      <c r="O73" s="8"/>
      <c r="P73" s="8"/>
      <c r="Q73" s="8"/>
      <c r="R73" s="8"/>
      <c r="S73" s="8"/>
      <c r="T73" s="8"/>
      <c r="U73" s="8"/>
      <c r="V73" s="8"/>
      <c r="W73" s="8">
        <v>2</v>
      </c>
      <c r="X73" s="4"/>
      <c r="Y73" s="4" t="s">
        <v>397</v>
      </c>
    </row>
    <row r="74" spans="1:25" x14ac:dyDescent="0.45">
      <c r="A74" s="5">
        <v>43882</v>
      </c>
      <c r="B74" s="18">
        <f t="shared" si="2"/>
        <v>2020</v>
      </c>
      <c r="C74" s="4" t="s">
        <v>191</v>
      </c>
      <c r="D74" s="13"/>
      <c r="E74" s="8" t="s">
        <v>326</v>
      </c>
      <c r="F74" s="8" t="s">
        <v>18</v>
      </c>
      <c r="G74" s="8" t="s">
        <v>26</v>
      </c>
      <c r="H74" s="8"/>
      <c r="I74" s="8">
        <v>3.13</v>
      </c>
      <c r="J74" s="8">
        <v>3.44</v>
      </c>
      <c r="K74" s="8">
        <v>4.2</v>
      </c>
      <c r="L74" s="8">
        <v>233</v>
      </c>
      <c r="M74" s="8" t="s">
        <v>97</v>
      </c>
      <c r="N74" s="8" t="s">
        <v>377</v>
      </c>
      <c r="O74" s="8"/>
      <c r="P74" s="8"/>
      <c r="Q74" s="8"/>
      <c r="R74" s="8"/>
      <c r="S74" s="8"/>
      <c r="T74" s="8"/>
      <c r="U74" s="8"/>
      <c r="V74" s="8"/>
      <c r="W74" s="8">
        <v>3</v>
      </c>
      <c r="X74" s="4"/>
      <c r="Y74" s="4" t="s">
        <v>398</v>
      </c>
    </row>
    <row r="75" spans="1:25" x14ac:dyDescent="0.45">
      <c r="A75" s="5">
        <v>43882</v>
      </c>
      <c r="B75" s="18">
        <f t="shared" si="2"/>
        <v>2020</v>
      </c>
      <c r="C75" s="4" t="s">
        <v>191</v>
      </c>
      <c r="D75" s="13"/>
      <c r="E75" s="8" t="s">
        <v>327</v>
      </c>
      <c r="F75" s="8" t="s">
        <v>18</v>
      </c>
      <c r="G75" s="8" t="s">
        <v>20</v>
      </c>
      <c r="H75" s="8"/>
      <c r="I75" s="8">
        <v>2.91</v>
      </c>
      <c r="J75" s="8">
        <v>3.18</v>
      </c>
      <c r="K75" s="8">
        <v>3.84</v>
      </c>
      <c r="L75" s="8">
        <v>234</v>
      </c>
      <c r="M75" s="8" t="s">
        <v>97</v>
      </c>
      <c r="N75" s="8" t="s">
        <v>378</v>
      </c>
      <c r="O75" s="8"/>
      <c r="P75" s="8"/>
      <c r="Q75" s="8"/>
      <c r="R75" s="8"/>
      <c r="S75" s="8"/>
      <c r="T75" s="8"/>
      <c r="U75" s="8"/>
      <c r="V75" s="8"/>
      <c r="W75" s="8">
        <v>4</v>
      </c>
      <c r="X75" s="4"/>
      <c r="Y75" s="4"/>
    </row>
    <row r="76" spans="1:25" ht="15.75" x14ac:dyDescent="0.5">
      <c r="A76" s="5">
        <v>43886</v>
      </c>
      <c r="B76" s="18">
        <f t="shared" si="2"/>
        <v>2020</v>
      </c>
      <c r="C76" s="4" t="s">
        <v>191</v>
      </c>
      <c r="D76" s="30" t="s">
        <v>333</v>
      </c>
      <c r="E76" s="8" t="s">
        <v>334</v>
      </c>
      <c r="F76" s="8" t="s">
        <v>18</v>
      </c>
      <c r="G76" s="8" t="s">
        <v>20</v>
      </c>
      <c r="H76" s="8"/>
      <c r="I76" s="8">
        <v>2.58</v>
      </c>
      <c r="J76" s="8">
        <v>2.85</v>
      </c>
      <c r="K76" s="8">
        <v>3.23</v>
      </c>
      <c r="L76" s="8">
        <v>235</v>
      </c>
      <c r="M76" s="8">
        <v>198171</v>
      </c>
      <c r="N76" s="8" t="s">
        <v>97</v>
      </c>
      <c r="O76" s="8"/>
      <c r="P76" s="8"/>
      <c r="Q76" s="8"/>
      <c r="R76" s="8"/>
      <c r="S76" s="8"/>
      <c r="T76" s="8"/>
      <c r="U76" s="8"/>
      <c r="V76" s="8"/>
      <c r="W76" s="8">
        <v>3</v>
      </c>
      <c r="X76" s="4"/>
      <c r="Y76" s="4" t="s">
        <v>399</v>
      </c>
    </row>
    <row r="77" spans="1:25" ht="15.75" x14ac:dyDescent="0.5">
      <c r="A77" s="5">
        <v>43886</v>
      </c>
      <c r="B77" s="18">
        <f t="shared" si="2"/>
        <v>2020</v>
      </c>
      <c r="C77" s="4" t="s">
        <v>191</v>
      </c>
      <c r="D77" s="30" t="s">
        <v>335</v>
      </c>
      <c r="E77" s="8" t="s">
        <v>336</v>
      </c>
      <c r="F77" s="8" t="s">
        <v>18</v>
      </c>
      <c r="G77" s="8" t="s">
        <v>26</v>
      </c>
      <c r="H77" s="8"/>
      <c r="I77" s="8">
        <v>3.12</v>
      </c>
      <c r="J77" s="8">
        <v>3.4</v>
      </c>
      <c r="K77" s="8"/>
      <c r="L77" s="8">
        <v>236</v>
      </c>
      <c r="M77" s="8">
        <v>198172</v>
      </c>
      <c r="N77" s="8" t="s">
        <v>97</v>
      </c>
      <c r="O77" s="8"/>
      <c r="P77" s="8"/>
      <c r="Q77" s="8"/>
      <c r="R77" s="8"/>
      <c r="S77" s="8"/>
      <c r="T77" s="8"/>
      <c r="U77" s="8"/>
      <c r="V77" s="8"/>
      <c r="W77" s="8">
        <v>2</v>
      </c>
      <c r="X77" s="4"/>
      <c r="Y77" s="4" t="s">
        <v>400</v>
      </c>
    </row>
    <row r="78" spans="1:25" ht="15.75" x14ac:dyDescent="0.5">
      <c r="A78" s="5">
        <v>43887</v>
      </c>
      <c r="B78" s="18">
        <f t="shared" si="2"/>
        <v>2020</v>
      </c>
      <c r="C78" s="4" t="s">
        <v>191</v>
      </c>
      <c r="D78" s="30" t="s">
        <v>338</v>
      </c>
      <c r="E78" s="8" t="s">
        <v>339</v>
      </c>
      <c r="F78" s="8" t="s">
        <v>18</v>
      </c>
      <c r="G78" s="8" t="s">
        <v>20</v>
      </c>
      <c r="H78" s="8"/>
      <c r="I78" s="8">
        <v>3.08</v>
      </c>
      <c r="J78" s="8">
        <v>3.41</v>
      </c>
      <c r="K78" s="8">
        <v>4.08</v>
      </c>
      <c r="L78" s="8">
        <v>237</v>
      </c>
      <c r="M78" s="8">
        <v>198173</v>
      </c>
      <c r="N78" s="8" t="s">
        <v>97</v>
      </c>
      <c r="O78" s="8"/>
      <c r="P78" s="8"/>
      <c r="Q78" s="8"/>
      <c r="R78" s="8"/>
      <c r="S78" s="8"/>
      <c r="T78" s="8"/>
      <c r="U78" s="8"/>
      <c r="V78" s="8"/>
      <c r="W78" s="8">
        <v>2</v>
      </c>
      <c r="X78" s="4"/>
      <c r="Y78" s="4" t="s">
        <v>401</v>
      </c>
    </row>
    <row r="79" spans="1:25" ht="15.75" x14ac:dyDescent="0.5">
      <c r="A79" s="5">
        <v>43887</v>
      </c>
      <c r="B79" s="18">
        <f t="shared" si="2"/>
        <v>2020</v>
      </c>
      <c r="C79" s="4" t="s">
        <v>191</v>
      </c>
      <c r="D79" s="30" t="s">
        <v>340</v>
      </c>
      <c r="E79" s="8" t="s">
        <v>341</v>
      </c>
      <c r="F79" s="8" t="s">
        <v>18</v>
      </c>
      <c r="G79" s="8" t="s">
        <v>20</v>
      </c>
      <c r="H79" s="8"/>
      <c r="I79" s="8">
        <v>3.27</v>
      </c>
      <c r="J79" s="8">
        <v>3.56</v>
      </c>
      <c r="K79" s="8">
        <v>4.3</v>
      </c>
      <c r="L79" s="8">
        <v>225</v>
      </c>
      <c r="M79" s="8">
        <v>198174</v>
      </c>
      <c r="N79" s="8" t="s">
        <v>97</v>
      </c>
      <c r="O79" s="8"/>
      <c r="P79" s="8"/>
      <c r="Q79" s="8"/>
      <c r="R79" s="8"/>
      <c r="S79" s="8"/>
      <c r="T79" s="8"/>
      <c r="U79" s="8"/>
      <c r="V79" s="8"/>
      <c r="W79" s="8">
        <v>3</v>
      </c>
      <c r="X79" s="4"/>
      <c r="Y79" s="4"/>
    </row>
    <row r="80" spans="1:25" ht="15.75" x14ac:dyDescent="0.5">
      <c r="A80" s="5">
        <v>43888</v>
      </c>
      <c r="B80" s="18">
        <f t="shared" si="2"/>
        <v>2020</v>
      </c>
      <c r="C80" s="4" t="s">
        <v>191</v>
      </c>
      <c r="D80" s="30" t="s">
        <v>342</v>
      </c>
      <c r="E80" s="8" t="s">
        <v>343</v>
      </c>
      <c r="F80" s="8" t="s">
        <v>18</v>
      </c>
      <c r="G80" s="8" t="s">
        <v>26</v>
      </c>
      <c r="H80" s="8"/>
      <c r="I80" s="8">
        <v>2.88</v>
      </c>
      <c r="J80" s="8">
        <v>3.19</v>
      </c>
      <c r="K80" s="8">
        <v>3.82</v>
      </c>
      <c r="L80" s="8">
        <v>238</v>
      </c>
      <c r="M80" s="8">
        <v>198175</v>
      </c>
      <c r="N80" s="8" t="s">
        <v>379</v>
      </c>
      <c r="O80" s="8"/>
      <c r="P80" s="8"/>
      <c r="Q80" s="8"/>
      <c r="R80" s="8"/>
      <c r="S80" s="8"/>
      <c r="T80" s="8"/>
      <c r="U80" s="8"/>
      <c r="V80" s="8"/>
      <c r="W80" s="8">
        <v>3</v>
      </c>
      <c r="X80" s="4"/>
      <c r="Y80" s="4" t="s">
        <v>402</v>
      </c>
    </row>
    <row r="81" spans="1:25" x14ac:dyDescent="0.45">
      <c r="A81" s="5">
        <v>43888</v>
      </c>
      <c r="B81" s="18">
        <f t="shared" si="2"/>
        <v>2020</v>
      </c>
      <c r="C81" s="4" t="s">
        <v>191</v>
      </c>
      <c r="D81" s="13" t="s">
        <v>344</v>
      </c>
      <c r="E81" s="8" t="s">
        <v>345</v>
      </c>
      <c r="F81" s="8" t="s">
        <v>18</v>
      </c>
      <c r="G81" s="8" t="s">
        <v>26</v>
      </c>
      <c r="H81" s="8"/>
      <c r="I81" s="8">
        <v>2.98</v>
      </c>
      <c r="J81" s="8">
        <v>3.26</v>
      </c>
      <c r="K81" s="8">
        <v>3.96</v>
      </c>
      <c r="L81" s="8">
        <v>239</v>
      </c>
      <c r="M81" s="8">
        <v>198176</v>
      </c>
      <c r="N81" s="8" t="s">
        <v>97</v>
      </c>
      <c r="O81" s="8"/>
      <c r="P81" s="8"/>
      <c r="Q81" s="8"/>
      <c r="R81" s="8"/>
      <c r="S81" s="8"/>
      <c r="T81" s="8"/>
      <c r="U81" s="8"/>
      <c r="V81" s="8"/>
      <c r="W81" s="8">
        <v>3</v>
      </c>
      <c r="X81" s="4"/>
      <c r="Y81" s="4" t="s">
        <v>403</v>
      </c>
    </row>
    <row r="82" spans="1:25" x14ac:dyDescent="0.45">
      <c r="A82" s="5">
        <v>43888</v>
      </c>
      <c r="B82" s="18">
        <f t="shared" si="2"/>
        <v>2020</v>
      </c>
      <c r="C82" s="4" t="s">
        <v>191</v>
      </c>
      <c r="D82" s="13"/>
      <c r="E82" s="8" t="s">
        <v>346</v>
      </c>
      <c r="F82" s="8" t="s">
        <v>18</v>
      </c>
      <c r="G82" s="8" t="s">
        <v>20</v>
      </c>
      <c r="H82" s="8"/>
      <c r="I82" s="8">
        <v>1.7</v>
      </c>
      <c r="J82" s="8">
        <v>1.89</v>
      </c>
      <c r="K82" s="8">
        <v>2.42</v>
      </c>
      <c r="L82" s="8">
        <v>240</v>
      </c>
      <c r="M82" s="8" t="s">
        <v>97</v>
      </c>
      <c r="N82" s="8" t="s">
        <v>97</v>
      </c>
      <c r="O82" s="8"/>
      <c r="P82" s="8"/>
      <c r="Q82" s="8"/>
      <c r="R82" s="8"/>
      <c r="S82" s="8"/>
      <c r="T82" s="8"/>
      <c r="U82" s="8"/>
      <c r="V82" s="8"/>
      <c r="W82" s="8">
        <v>4</v>
      </c>
      <c r="X82" s="4"/>
      <c r="Y82" s="4" t="s">
        <v>404</v>
      </c>
    </row>
    <row r="83" spans="1:25" x14ac:dyDescent="0.45">
      <c r="A83" s="5">
        <v>43888</v>
      </c>
      <c r="B83" s="18">
        <f t="shared" si="2"/>
        <v>2020</v>
      </c>
      <c r="C83" s="4" t="s">
        <v>191</v>
      </c>
      <c r="D83" s="13"/>
      <c r="E83" s="8" t="s">
        <v>347</v>
      </c>
      <c r="F83" s="8" t="s">
        <v>18</v>
      </c>
      <c r="G83" s="8" t="s">
        <v>20</v>
      </c>
      <c r="H83" s="8"/>
      <c r="I83" s="8">
        <v>1.74</v>
      </c>
      <c r="J83" s="8">
        <v>1.92</v>
      </c>
      <c r="K83" s="8">
        <v>2.44</v>
      </c>
      <c r="L83" s="8">
        <v>261</v>
      </c>
      <c r="M83" s="8" t="s">
        <v>97</v>
      </c>
      <c r="N83" s="8" t="s">
        <v>380</v>
      </c>
      <c r="O83" s="8"/>
      <c r="P83" s="8"/>
      <c r="Q83" s="8"/>
      <c r="R83" s="8"/>
      <c r="S83" s="8"/>
      <c r="T83" s="8"/>
      <c r="U83" s="8"/>
      <c r="V83" s="8"/>
      <c r="W83" s="8">
        <v>4</v>
      </c>
      <c r="X83" s="4"/>
      <c r="Y83" s="4" t="s">
        <v>613</v>
      </c>
    </row>
    <row r="84" spans="1:25" ht="15.75" x14ac:dyDescent="0.5">
      <c r="A84" s="5">
        <v>43889</v>
      </c>
      <c r="B84" s="18">
        <f t="shared" si="2"/>
        <v>2020</v>
      </c>
      <c r="C84" s="4" t="s">
        <v>191</v>
      </c>
      <c r="D84" s="30" t="s">
        <v>359</v>
      </c>
      <c r="E84" s="8" t="s">
        <v>360</v>
      </c>
      <c r="F84" s="8" t="s">
        <v>18</v>
      </c>
      <c r="G84" s="8" t="s">
        <v>20</v>
      </c>
      <c r="H84" s="8"/>
      <c r="I84" s="8">
        <v>2.75</v>
      </c>
      <c r="J84" s="8">
        <v>3.05</v>
      </c>
      <c r="K84" s="8">
        <v>3.63</v>
      </c>
      <c r="L84" s="8">
        <v>262</v>
      </c>
      <c r="M84" s="8">
        <v>198177</v>
      </c>
      <c r="N84" s="8" t="s">
        <v>97</v>
      </c>
      <c r="O84" s="8"/>
      <c r="P84" s="8"/>
      <c r="Q84" s="8"/>
      <c r="R84" s="8"/>
      <c r="S84" s="8"/>
      <c r="T84" s="8"/>
      <c r="U84" s="8"/>
      <c r="V84" s="8"/>
      <c r="W84" s="8">
        <v>2</v>
      </c>
      <c r="X84" s="4"/>
      <c r="Y84" s="4" t="s">
        <v>408</v>
      </c>
    </row>
    <row r="85" spans="1:25" ht="15.75" x14ac:dyDescent="0.5">
      <c r="A85" s="5">
        <v>43889</v>
      </c>
      <c r="B85" s="18">
        <f t="shared" si="2"/>
        <v>2020</v>
      </c>
      <c r="C85" s="4" t="s">
        <v>191</v>
      </c>
      <c r="D85" s="30" t="s">
        <v>361</v>
      </c>
      <c r="E85" s="8" t="s">
        <v>362</v>
      </c>
      <c r="F85" s="8" t="s">
        <v>18</v>
      </c>
      <c r="G85" s="8" t="s">
        <v>20</v>
      </c>
      <c r="H85" s="8"/>
      <c r="I85" s="8">
        <v>2.15</v>
      </c>
      <c r="J85" s="8">
        <v>2.39</v>
      </c>
      <c r="K85" s="8">
        <v>3.14</v>
      </c>
      <c r="L85" s="8">
        <v>263</v>
      </c>
      <c r="M85" s="8">
        <v>198178</v>
      </c>
      <c r="N85" s="8" t="s">
        <v>97</v>
      </c>
      <c r="O85" s="8"/>
      <c r="P85" s="8"/>
      <c r="Q85" s="8"/>
      <c r="R85" s="8"/>
      <c r="S85" s="8"/>
      <c r="T85" s="8"/>
      <c r="U85" s="8"/>
      <c r="V85" s="8"/>
      <c r="W85" s="8">
        <v>1</v>
      </c>
      <c r="X85" s="4"/>
      <c r="Y85" s="4" t="s">
        <v>409</v>
      </c>
    </row>
    <row r="86" spans="1:25" ht="15.75" x14ac:dyDescent="0.5">
      <c r="A86" s="5">
        <v>43889</v>
      </c>
      <c r="B86" s="18">
        <f t="shared" si="2"/>
        <v>2020</v>
      </c>
      <c r="C86" s="4" t="s">
        <v>191</v>
      </c>
      <c r="D86" s="30" t="s">
        <v>363</v>
      </c>
      <c r="E86" s="8" t="s">
        <v>364</v>
      </c>
      <c r="F86" s="8" t="s">
        <v>18</v>
      </c>
      <c r="G86" s="8" t="s">
        <v>26</v>
      </c>
      <c r="H86" s="8"/>
      <c r="I86" s="8">
        <v>3.05</v>
      </c>
      <c r="J86" s="8">
        <v>3.4</v>
      </c>
      <c r="K86" s="8">
        <v>4.05</v>
      </c>
      <c r="L86" s="8">
        <v>264</v>
      </c>
      <c r="M86" s="8">
        <v>176404</v>
      </c>
      <c r="N86" s="8" t="s">
        <v>97</v>
      </c>
      <c r="O86" s="8"/>
      <c r="P86" s="8"/>
      <c r="Q86" s="8"/>
      <c r="R86" s="8"/>
      <c r="S86" s="8"/>
      <c r="T86" s="8"/>
      <c r="U86" s="8"/>
      <c r="V86" s="8"/>
      <c r="W86" s="8" t="s">
        <v>390</v>
      </c>
      <c r="X86" s="4"/>
      <c r="Y86" s="4" t="s">
        <v>410</v>
      </c>
    </row>
    <row r="87" spans="1:25" x14ac:dyDescent="0.45">
      <c r="A87" s="5">
        <v>43889</v>
      </c>
      <c r="B87" s="18">
        <f t="shared" si="2"/>
        <v>2020</v>
      </c>
      <c r="C87" s="4" t="s">
        <v>191</v>
      </c>
      <c r="D87" s="13"/>
      <c r="E87" s="8" t="s">
        <v>365</v>
      </c>
      <c r="F87" s="8" t="s">
        <v>18</v>
      </c>
      <c r="G87" s="8" t="s">
        <v>20</v>
      </c>
      <c r="H87" s="8"/>
      <c r="I87" s="8">
        <v>2.4700000000000002</v>
      </c>
      <c r="J87" s="8">
        <v>2.74</v>
      </c>
      <c r="K87" s="8">
        <v>3.42</v>
      </c>
      <c r="L87" s="8">
        <v>265</v>
      </c>
      <c r="M87" s="8" t="s">
        <v>97</v>
      </c>
      <c r="N87" s="8" t="s">
        <v>97</v>
      </c>
      <c r="O87" s="8"/>
      <c r="P87" s="8"/>
      <c r="Q87" s="8"/>
      <c r="R87" s="8"/>
      <c r="S87" s="8"/>
      <c r="T87" s="8"/>
      <c r="U87" s="8"/>
      <c r="V87" s="8"/>
      <c r="W87" s="8">
        <v>2</v>
      </c>
      <c r="X87" s="4"/>
      <c r="Y87" s="4" t="s">
        <v>411</v>
      </c>
    </row>
    <row r="88" spans="1:25" x14ac:dyDescent="0.45">
      <c r="A88" s="5">
        <v>43889</v>
      </c>
      <c r="B88" s="18">
        <f t="shared" si="2"/>
        <v>2020</v>
      </c>
      <c r="C88" s="4" t="s">
        <v>191</v>
      </c>
      <c r="D88" s="13"/>
      <c r="E88" s="8" t="s">
        <v>366</v>
      </c>
      <c r="F88" s="8" t="s">
        <v>18</v>
      </c>
      <c r="G88" s="8" t="s">
        <v>26</v>
      </c>
      <c r="H88" s="8"/>
      <c r="I88" s="8">
        <v>2.9</v>
      </c>
      <c r="J88" s="8">
        <v>3.2</v>
      </c>
      <c r="K88" s="8">
        <v>3.82</v>
      </c>
      <c r="L88" s="8">
        <v>266</v>
      </c>
      <c r="M88" s="8" t="s">
        <v>97</v>
      </c>
      <c r="N88" s="8" t="s">
        <v>97</v>
      </c>
      <c r="O88" s="8"/>
      <c r="P88" s="8"/>
      <c r="Q88" s="8"/>
      <c r="R88" s="8"/>
      <c r="S88" s="8"/>
      <c r="T88" s="8"/>
      <c r="U88" s="8"/>
      <c r="V88" s="8"/>
      <c r="W88" s="8">
        <v>1.5</v>
      </c>
      <c r="X88" s="4"/>
      <c r="Y88" s="4" t="s">
        <v>412</v>
      </c>
    </row>
    <row r="89" spans="1:25" x14ac:dyDescent="0.45">
      <c r="A89" s="5">
        <v>43889</v>
      </c>
      <c r="B89" s="18">
        <f t="shared" si="2"/>
        <v>2020</v>
      </c>
      <c r="C89" s="4" t="s">
        <v>191</v>
      </c>
      <c r="D89" s="13"/>
      <c r="E89" s="8" t="s">
        <v>367</v>
      </c>
      <c r="F89" s="8" t="s">
        <v>18</v>
      </c>
      <c r="G89" s="8" t="s">
        <v>20</v>
      </c>
      <c r="H89" s="8"/>
      <c r="I89" s="8">
        <v>2.79</v>
      </c>
      <c r="J89" s="8">
        <v>3.09</v>
      </c>
      <c r="K89" s="8">
        <v>3.85</v>
      </c>
      <c r="L89" s="8">
        <v>267</v>
      </c>
      <c r="M89" s="8" t="s">
        <v>97</v>
      </c>
      <c r="N89" s="8" t="s">
        <v>97</v>
      </c>
      <c r="O89" s="8"/>
      <c r="P89" s="8"/>
      <c r="Q89" s="8"/>
      <c r="R89" s="8"/>
      <c r="S89" s="8"/>
      <c r="T89" s="8"/>
      <c r="U89" s="8"/>
      <c r="V89" s="8"/>
      <c r="W89" s="8">
        <v>1</v>
      </c>
      <c r="X89" s="4"/>
      <c r="Y89" s="4" t="s">
        <v>413</v>
      </c>
    </row>
    <row r="90" spans="1:25" x14ac:dyDescent="0.45">
      <c r="A90" s="5">
        <v>43889</v>
      </c>
      <c r="B90" s="18">
        <f t="shared" si="2"/>
        <v>2020</v>
      </c>
      <c r="C90" s="4" t="s">
        <v>191</v>
      </c>
      <c r="D90" s="13"/>
      <c r="E90" s="8" t="s">
        <v>368</v>
      </c>
      <c r="F90" s="8" t="s">
        <v>18</v>
      </c>
      <c r="G90" s="8" t="s">
        <v>26</v>
      </c>
      <c r="H90" s="8"/>
      <c r="I90" s="8">
        <v>2.77</v>
      </c>
      <c r="J90" s="8">
        <v>3.03</v>
      </c>
      <c r="K90" s="8">
        <v>3.82</v>
      </c>
      <c r="L90" s="8">
        <v>268</v>
      </c>
      <c r="M90" s="8" t="s">
        <v>97</v>
      </c>
      <c r="N90" s="8" t="s">
        <v>97</v>
      </c>
      <c r="O90" s="8"/>
      <c r="P90" s="8"/>
      <c r="Q90" s="8"/>
      <c r="R90" s="8"/>
      <c r="S90" s="8"/>
      <c r="T90" s="8"/>
      <c r="U90" s="8"/>
      <c r="V90" s="8"/>
      <c r="W90" s="8">
        <v>2</v>
      </c>
      <c r="X90" s="4"/>
      <c r="Y90" s="4" t="s">
        <v>414</v>
      </c>
    </row>
    <row r="91" spans="1:25" x14ac:dyDescent="0.45">
      <c r="A91" s="5">
        <v>44988</v>
      </c>
      <c r="B91" s="18">
        <f t="shared" si="2"/>
        <v>2023</v>
      </c>
      <c r="C91" s="4" t="s">
        <v>191</v>
      </c>
      <c r="D91" s="8"/>
      <c r="E91" s="31" t="s">
        <v>417</v>
      </c>
      <c r="F91" s="8" t="s">
        <v>18</v>
      </c>
      <c r="G91" s="8" t="s">
        <v>20</v>
      </c>
      <c r="H91" s="8" t="s">
        <v>96</v>
      </c>
      <c r="I91" s="9">
        <v>2.73</v>
      </c>
      <c r="J91" s="9">
        <v>2.98</v>
      </c>
      <c r="K91" s="9">
        <v>3.51</v>
      </c>
      <c r="L91" s="8" t="s">
        <v>425</v>
      </c>
      <c r="M91" s="8" t="s">
        <v>97</v>
      </c>
      <c r="N91" s="8" t="s">
        <v>97</v>
      </c>
      <c r="O91" s="16" t="s">
        <v>427</v>
      </c>
      <c r="P91" s="8"/>
      <c r="Q91" s="10">
        <v>0.51736111111111105</v>
      </c>
      <c r="R91" s="8"/>
      <c r="S91" s="8"/>
      <c r="T91" s="10">
        <v>0.52569444444444446</v>
      </c>
      <c r="U91" s="10"/>
      <c r="V91" s="10">
        <v>0.53402777777777777</v>
      </c>
      <c r="W91" s="8">
        <v>3.5</v>
      </c>
      <c r="X91" s="4"/>
      <c r="Y91" s="4" t="s">
        <v>433</v>
      </c>
    </row>
    <row r="92" spans="1:25" x14ac:dyDescent="0.45">
      <c r="A92" s="5">
        <v>44988</v>
      </c>
      <c r="B92" s="18">
        <f t="shared" si="2"/>
        <v>2023</v>
      </c>
      <c r="C92" s="4" t="s">
        <v>191</v>
      </c>
      <c r="D92" s="8"/>
      <c r="E92" s="31" t="s">
        <v>418</v>
      </c>
      <c r="F92" s="8" t="s">
        <v>18</v>
      </c>
      <c r="G92" s="8" t="s">
        <v>20</v>
      </c>
      <c r="H92" s="8" t="s">
        <v>95</v>
      </c>
      <c r="I92" s="9">
        <v>3.3</v>
      </c>
      <c r="J92" s="9">
        <v>3.62</v>
      </c>
      <c r="K92" s="9">
        <v>4.2300000000000004</v>
      </c>
      <c r="L92" s="8">
        <v>186</v>
      </c>
      <c r="M92" s="8" t="s">
        <v>97</v>
      </c>
      <c r="N92" s="8" t="s">
        <v>97</v>
      </c>
      <c r="O92" s="16" t="s">
        <v>426</v>
      </c>
      <c r="P92" s="8"/>
      <c r="Q92" s="10">
        <v>0.52083333333333337</v>
      </c>
      <c r="R92" s="8"/>
      <c r="S92" s="8"/>
      <c r="T92" s="10">
        <v>0.54375000000000007</v>
      </c>
      <c r="U92" s="10"/>
      <c r="V92" s="10">
        <v>0.55694444444444446</v>
      </c>
      <c r="W92" s="8">
        <v>3.5</v>
      </c>
      <c r="X92" s="4"/>
      <c r="Y92" s="4" t="s">
        <v>434</v>
      </c>
    </row>
    <row r="93" spans="1:25" x14ac:dyDescent="0.45">
      <c r="A93" s="5">
        <v>44988</v>
      </c>
      <c r="B93" s="18">
        <f t="shared" si="2"/>
        <v>2023</v>
      </c>
      <c r="C93" s="4" t="s">
        <v>191</v>
      </c>
      <c r="D93" s="8"/>
      <c r="E93" s="31" t="s">
        <v>419</v>
      </c>
      <c r="F93" s="8" t="s">
        <v>18</v>
      </c>
      <c r="G93" s="8" t="s">
        <v>20</v>
      </c>
      <c r="H93" s="8"/>
      <c r="I93" s="9">
        <v>2.23</v>
      </c>
      <c r="J93" s="9">
        <v>2.4300000000000002</v>
      </c>
      <c r="K93" s="9">
        <v>3.02</v>
      </c>
      <c r="L93" s="8">
        <v>187</v>
      </c>
      <c r="M93" s="8" t="s">
        <v>97</v>
      </c>
      <c r="N93" s="8" t="s">
        <v>97</v>
      </c>
      <c r="O93" s="16" t="s">
        <v>428</v>
      </c>
      <c r="P93" s="8"/>
      <c r="Q93" s="10">
        <v>0.57638888888888895</v>
      </c>
      <c r="R93" s="8"/>
      <c r="S93" s="8"/>
      <c r="T93" s="10">
        <v>0.58263888888888882</v>
      </c>
      <c r="U93" s="10"/>
      <c r="V93" s="10">
        <v>0.58888888888888891</v>
      </c>
      <c r="W93" s="8">
        <v>3.5</v>
      </c>
      <c r="X93" s="4"/>
      <c r="Y93" s="4" t="s">
        <v>435</v>
      </c>
    </row>
    <row r="94" spans="1:25" x14ac:dyDescent="0.45">
      <c r="A94" s="5">
        <v>44988</v>
      </c>
      <c r="B94" s="18">
        <f t="shared" si="2"/>
        <v>2023</v>
      </c>
      <c r="C94" s="4" t="s">
        <v>191</v>
      </c>
      <c r="D94" s="8"/>
      <c r="E94" s="31" t="s">
        <v>420</v>
      </c>
      <c r="F94" s="8" t="s">
        <v>18</v>
      </c>
      <c r="G94" s="8" t="s">
        <v>26</v>
      </c>
      <c r="H94" s="8"/>
      <c r="I94" s="9">
        <v>2.4900000000000002</v>
      </c>
      <c r="J94" s="9">
        <v>2.78</v>
      </c>
      <c r="K94" s="9">
        <v>3.37</v>
      </c>
      <c r="L94" s="8">
        <v>188</v>
      </c>
      <c r="M94" s="8" t="s">
        <v>97</v>
      </c>
      <c r="N94" s="8" t="s">
        <v>97</v>
      </c>
      <c r="O94" s="16" t="s">
        <v>429</v>
      </c>
      <c r="P94" s="8"/>
      <c r="Q94" s="10">
        <v>0.59791666666666665</v>
      </c>
      <c r="R94" s="8"/>
      <c r="S94" s="8"/>
      <c r="T94" s="10">
        <v>0.6069444444444444</v>
      </c>
      <c r="U94" s="10"/>
      <c r="V94" s="10">
        <v>0.61458333333333337</v>
      </c>
      <c r="W94" s="8">
        <v>2</v>
      </c>
      <c r="X94" s="4"/>
      <c r="Y94" s="4" t="s">
        <v>436</v>
      </c>
    </row>
    <row r="95" spans="1:25" x14ac:dyDescent="0.45">
      <c r="A95" s="5">
        <v>44988</v>
      </c>
      <c r="B95" s="18">
        <f t="shared" si="2"/>
        <v>2023</v>
      </c>
      <c r="C95" s="4" t="s">
        <v>191</v>
      </c>
      <c r="D95" s="8" t="s">
        <v>550</v>
      </c>
      <c r="E95" s="31" t="s">
        <v>421</v>
      </c>
      <c r="F95" s="8" t="s">
        <v>18</v>
      </c>
      <c r="G95" s="8" t="s">
        <v>20</v>
      </c>
      <c r="H95" s="8"/>
      <c r="I95" s="9">
        <v>3</v>
      </c>
      <c r="J95" s="9">
        <v>3.12</v>
      </c>
      <c r="K95" s="9">
        <v>3.9</v>
      </c>
      <c r="L95" s="8">
        <v>189</v>
      </c>
      <c r="M95" s="8" t="s">
        <v>553</v>
      </c>
      <c r="N95" s="8" t="s">
        <v>97</v>
      </c>
      <c r="O95" s="25" t="s">
        <v>430</v>
      </c>
      <c r="P95" s="8"/>
      <c r="Q95" s="10">
        <v>0.60416666666666663</v>
      </c>
      <c r="R95" s="8"/>
      <c r="S95" s="8"/>
      <c r="T95" s="10">
        <v>0.62708333333333333</v>
      </c>
      <c r="U95" s="10"/>
      <c r="V95" s="10">
        <v>0.64027777777777783</v>
      </c>
      <c r="W95" s="8">
        <v>4</v>
      </c>
      <c r="X95" s="4"/>
      <c r="Y95" s="4" t="s">
        <v>437</v>
      </c>
    </row>
    <row r="96" spans="1:25" x14ac:dyDescent="0.45">
      <c r="A96" s="5">
        <v>44988</v>
      </c>
      <c r="B96" s="18">
        <f t="shared" si="2"/>
        <v>2023</v>
      </c>
      <c r="C96" s="4" t="s">
        <v>191</v>
      </c>
      <c r="D96" s="8"/>
      <c r="E96" s="31" t="s">
        <v>424</v>
      </c>
      <c r="F96" s="8" t="s">
        <v>18</v>
      </c>
      <c r="G96" s="8" t="s">
        <v>20</v>
      </c>
      <c r="H96" s="8"/>
      <c r="I96" s="9">
        <v>2.94</v>
      </c>
      <c r="J96" s="9">
        <v>3.25</v>
      </c>
      <c r="K96" s="9">
        <v>3.81</v>
      </c>
      <c r="L96" s="8">
        <v>191</v>
      </c>
      <c r="M96" s="8" t="s">
        <v>97</v>
      </c>
      <c r="N96" s="8" t="s">
        <v>97</v>
      </c>
      <c r="O96" s="16" t="s">
        <v>431</v>
      </c>
      <c r="P96" s="8"/>
      <c r="Q96" s="10">
        <v>0.67986111111111114</v>
      </c>
      <c r="R96" s="8"/>
      <c r="S96" s="8"/>
      <c r="T96" s="10">
        <v>0.69097222222222221</v>
      </c>
      <c r="U96" s="10"/>
      <c r="V96" s="10">
        <v>0.70000000000000007</v>
      </c>
      <c r="W96" s="8">
        <v>3.5</v>
      </c>
      <c r="X96" s="4"/>
      <c r="Y96" s="4" t="s">
        <v>438</v>
      </c>
    </row>
    <row r="97" spans="1:25" x14ac:dyDescent="0.45">
      <c r="A97" s="5">
        <v>44992</v>
      </c>
      <c r="B97" s="18">
        <f t="shared" si="2"/>
        <v>2023</v>
      </c>
      <c r="C97" s="4" t="s">
        <v>191</v>
      </c>
      <c r="D97" s="8" t="s">
        <v>154</v>
      </c>
      <c r="E97" s="31" t="s">
        <v>497</v>
      </c>
      <c r="F97" s="8" t="s">
        <v>18</v>
      </c>
      <c r="G97" s="8" t="s">
        <v>20</v>
      </c>
      <c r="H97" s="8" t="s">
        <v>96</v>
      </c>
      <c r="I97" s="8">
        <v>3.14</v>
      </c>
      <c r="J97" s="8">
        <v>3.45</v>
      </c>
      <c r="K97" s="8">
        <v>4.0599999999999996</v>
      </c>
      <c r="L97" s="8">
        <v>219</v>
      </c>
      <c r="M97" s="8">
        <v>228001</v>
      </c>
      <c r="N97" s="8">
        <v>63889</v>
      </c>
      <c r="O97" s="8" t="s">
        <v>97</v>
      </c>
      <c r="P97" s="8"/>
      <c r="Q97" s="10">
        <v>0.56041666666666667</v>
      </c>
      <c r="R97" s="8"/>
      <c r="S97" s="8"/>
      <c r="T97" s="10">
        <v>0.57916666666666672</v>
      </c>
      <c r="U97" s="8"/>
      <c r="V97" s="10">
        <v>0.59097222222222223</v>
      </c>
      <c r="W97" s="8">
        <v>4</v>
      </c>
      <c r="X97" s="4"/>
      <c r="Y97" s="4" t="s">
        <v>506</v>
      </c>
    </row>
    <row r="98" spans="1:25" x14ac:dyDescent="0.45">
      <c r="A98" s="5">
        <v>44992</v>
      </c>
      <c r="B98" s="18">
        <f t="shared" ref="B98:B112" si="3">YEAR(A98)</f>
        <v>2023</v>
      </c>
      <c r="C98" s="4" t="s">
        <v>191</v>
      </c>
      <c r="D98" s="8" t="s">
        <v>142</v>
      </c>
      <c r="E98" s="31" t="s">
        <v>498</v>
      </c>
      <c r="F98" s="8" t="s">
        <v>18</v>
      </c>
      <c r="G98" s="8" t="s">
        <v>20</v>
      </c>
      <c r="H98" s="8" t="s">
        <v>96</v>
      </c>
      <c r="I98" s="8">
        <v>3.02</v>
      </c>
      <c r="J98" s="8">
        <v>3.35</v>
      </c>
      <c r="K98" s="8">
        <v>3.93</v>
      </c>
      <c r="L98" s="8">
        <v>201</v>
      </c>
      <c r="M98" s="8">
        <v>227990</v>
      </c>
      <c r="N98" s="8"/>
      <c r="O98" s="16" t="s">
        <v>502</v>
      </c>
      <c r="P98" s="8"/>
      <c r="Q98" s="10">
        <v>0.5708333333333333</v>
      </c>
      <c r="R98" s="8"/>
      <c r="S98" s="8"/>
      <c r="T98" s="10">
        <v>0.61111111111111105</v>
      </c>
      <c r="U98" s="8"/>
      <c r="V98" s="10">
        <v>0.61805555555555558</v>
      </c>
      <c r="W98" s="8">
        <v>4</v>
      </c>
      <c r="X98" s="4"/>
      <c r="Y98" s="4" t="s">
        <v>507</v>
      </c>
    </row>
    <row r="99" spans="1:25" x14ac:dyDescent="0.45">
      <c r="A99" s="5">
        <v>44992</v>
      </c>
      <c r="B99" s="18">
        <f t="shared" si="3"/>
        <v>2023</v>
      </c>
      <c r="C99" s="4" t="s">
        <v>191</v>
      </c>
      <c r="D99" s="8"/>
      <c r="E99" s="31" t="s">
        <v>499</v>
      </c>
      <c r="F99" s="8" t="s">
        <v>18</v>
      </c>
      <c r="G99" s="8" t="s">
        <v>20</v>
      </c>
      <c r="H99" s="8" t="s">
        <v>96</v>
      </c>
      <c r="I99" s="8">
        <v>2.88</v>
      </c>
      <c r="J99" s="8">
        <v>3.12</v>
      </c>
      <c r="K99" s="8">
        <v>3.75</v>
      </c>
      <c r="L99" s="8">
        <v>192</v>
      </c>
      <c r="M99" s="8"/>
      <c r="N99" s="8"/>
      <c r="O99" s="16" t="s">
        <v>503</v>
      </c>
      <c r="P99" s="8"/>
      <c r="Q99" s="10">
        <v>0.67638888888888893</v>
      </c>
      <c r="R99" s="8"/>
      <c r="S99" s="8"/>
      <c r="T99" s="10">
        <v>0.68402777777777779</v>
      </c>
      <c r="U99" s="8"/>
      <c r="V99" s="10">
        <v>0.6958333333333333</v>
      </c>
      <c r="W99" s="8">
        <v>3</v>
      </c>
      <c r="X99" s="4"/>
      <c r="Y99" s="4" t="s">
        <v>509</v>
      </c>
    </row>
    <row r="100" spans="1:25" x14ac:dyDescent="0.45">
      <c r="A100" s="5">
        <v>44992</v>
      </c>
      <c r="B100" s="18">
        <f t="shared" si="3"/>
        <v>2023</v>
      </c>
      <c r="C100" s="4" t="s">
        <v>191</v>
      </c>
      <c r="D100" s="8"/>
      <c r="E100" s="31" t="s">
        <v>501</v>
      </c>
      <c r="F100" s="8" t="s">
        <v>18</v>
      </c>
      <c r="G100" s="8" t="s">
        <v>20</v>
      </c>
      <c r="H100" s="8" t="s">
        <v>96</v>
      </c>
      <c r="I100" s="8">
        <v>2.89</v>
      </c>
      <c r="J100" s="8">
        <v>3.19</v>
      </c>
      <c r="K100" s="8">
        <v>3.68</v>
      </c>
      <c r="L100" s="8">
        <v>193</v>
      </c>
      <c r="M100" s="8"/>
      <c r="N100" s="8"/>
      <c r="O100" s="16" t="s">
        <v>504</v>
      </c>
      <c r="P100" s="8"/>
      <c r="Q100" s="10">
        <v>0.68958333333333333</v>
      </c>
      <c r="R100" s="8"/>
      <c r="S100" s="8"/>
      <c r="T100" s="8" t="s">
        <v>97</v>
      </c>
      <c r="U100" s="8"/>
      <c r="V100" s="10">
        <v>0.72083333333333333</v>
      </c>
      <c r="W100" s="8">
        <v>3</v>
      </c>
      <c r="X100" s="4"/>
      <c r="Y100" s="4" t="s">
        <v>510</v>
      </c>
    </row>
    <row r="101" spans="1:25" x14ac:dyDescent="0.45">
      <c r="A101" s="5">
        <v>44992</v>
      </c>
      <c r="B101" s="18">
        <f t="shared" si="3"/>
        <v>2023</v>
      </c>
      <c r="C101" s="4" t="s">
        <v>191</v>
      </c>
      <c r="D101" s="8"/>
      <c r="E101" s="31" t="s">
        <v>500</v>
      </c>
      <c r="F101" s="8" t="s">
        <v>18</v>
      </c>
      <c r="G101" s="8" t="s">
        <v>26</v>
      </c>
      <c r="H101" s="8" t="s">
        <v>96</v>
      </c>
      <c r="I101" s="8">
        <v>3.09</v>
      </c>
      <c r="J101" s="8">
        <v>3.39</v>
      </c>
      <c r="K101" s="8">
        <v>4.09</v>
      </c>
      <c r="L101" s="8">
        <v>194</v>
      </c>
      <c r="M101" s="8"/>
      <c r="N101" s="8"/>
      <c r="O101" s="16" t="s">
        <v>505</v>
      </c>
      <c r="P101" s="8"/>
      <c r="Q101" s="10">
        <v>0.73055555555555562</v>
      </c>
      <c r="R101" s="8"/>
      <c r="S101" s="8"/>
      <c r="T101" s="10">
        <v>0.73055555555555562</v>
      </c>
      <c r="U101" s="8"/>
      <c r="V101" s="10">
        <v>0.75555555555555554</v>
      </c>
      <c r="W101" s="8">
        <v>4</v>
      </c>
      <c r="X101" s="4"/>
      <c r="Y101" s="4" t="s">
        <v>508</v>
      </c>
    </row>
    <row r="102" spans="1:25" x14ac:dyDescent="0.45">
      <c r="A102" s="5">
        <v>44994</v>
      </c>
      <c r="B102" s="18">
        <f t="shared" si="3"/>
        <v>2023</v>
      </c>
      <c r="C102" s="4" t="s">
        <v>191</v>
      </c>
      <c r="D102" s="8" t="s">
        <v>550</v>
      </c>
      <c r="E102" s="31" t="s">
        <v>548</v>
      </c>
      <c r="F102" s="8" t="s">
        <v>18</v>
      </c>
      <c r="G102" s="8" t="s">
        <v>20</v>
      </c>
      <c r="H102" s="8" t="s">
        <v>96</v>
      </c>
      <c r="I102" s="8">
        <v>3.37</v>
      </c>
      <c r="J102" s="8">
        <v>3.65</v>
      </c>
      <c r="K102" s="8">
        <v>4.38</v>
      </c>
      <c r="L102" s="8">
        <v>286</v>
      </c>
      <c r="M102" s="8" t="s">
        <v>552</v>
      </c>
      <c r="N102" s="8"/>
      <c r="O102" s="28" t="s">
        <v>556</v>
      </c>
      <c r="P102" s="8"/>
      <c r="Q102" s="10">
        <v>0.5444444444444444</v>
      </c>
      <c r="R102" s="8"/>
      <c r="S102" s="8"/>
      <c r="T102" s="10">
        <v>0.55972222222222223</v>
      </c>
      <c r="U102" s="8"/>
      <c r="V102" s="10">
        <v>0.57430555555555551</v>
      </c>
      <c r="W102" s="8">
        <v>2</v>
      </c>
      <c r="X102" s="4"/>
      <c r="Y102" s="4" t="s">
        <v>555</v>
      </c>
    </row>
    <row r="103" spans="1:25" x14ac:dyDescent="0.45">
      <c r="A103" s="5">
        <v>44994</v>
      </c>
      <c r="B103" s="18">
        <f t="shared" si="3"/>
        <v>2023</v>
      </c>
      <c r="C103" s="4" t="s">
        <v>191</v>
      </c>
      <c r="D103" s="8" t="s">
        <v>550</v>
      </c>
      <c r="E103" s="31" t="s">
        <v>549</v>
      </c>
      <c r="F103" s="8" t="s">
        <v>18</v>
      </c>
      <c r="G103" s="8" t="s">
        <v>20</v>
      </c>
      <c r="H103" s="8" t="s">
        <v>551</v>
      </c>
      <c r="I103" s="8">
        <v>3.44</v>
      </c>
      <c r="J103" s="8">
        <v>3.8</v>
      </c>
      <c r="K103" s="8">
        <v>4.6399999999999997</v>
      </c>
      <c r="L103" s="8">
        <v>287</v>
      </c>
      <c r="M103" s="8" t="s">
        <v>552</v>
      </c>
      <c r="N103" s="8"/>
      <c r="O103" s="16" t="s">
        <v>554</v>
      </c>
      <c r="P103" s="8"/>
      <c r="Q103" s="10">
        <v>0.64722222222222225</v>
      </c>
      <c r="R103" s="8"/>
      <c r="S103" s="8"/>
      <c r="T103" s="10">
        <v>0.66319444444444442</v>
      </c>
      <c r="U103" s="8"/>
      <c r="V103" s="10">
        <v>0.67708333333333337</v>
      </c>
      <c r="W103" s="8">
        <v>2</v>
      </c>
      <c r="X103" s="4"/>
      <c r="Y103" s="4" t="s">
        <v>557</v>
      </c>
    </row>
    <row r="104" spans="1:25" x14ac:dyDescent="0.45">
      <c r="A104" s="5">
        <v>45305</v>
      </c>
      <c r="B104" s="18">
        <f t="shared" si="3"/>
        <v>2024</v>
      </c>
      <c r="C104" s="4" t="s">
        <v>191</v>
      </c>
      <c r="D104" s="8"/>
      <c r="E104" s="8" t="s">
        <v>588</v>
      </c>
      <c r="F104" s="8" t="s">
        <v>18</v>
      </c>
      <c r="G104" s="8" t="s">
        <v>20</v>
      </c>
      <c r="H104" s="8" t="s">
        <v>95</v>
      </c>
      <c r="I104" s="8">
        <v>2.9</v>
      </c>
      <c r="J104" s="8">
        <v>3.25</v>
      </c>
      <c r="K104" s="8">
        <v>3.9</v>
      </c>
      <c r="L104" s="16" t="s">
        <v>597</v>
      </c>
      <c r="M104" s="16" t="s">
        <v>97</v>
      </c>
      <c r="N104" s="8">
        <v>48632</v>
      </c>
      <c r="O104" s="16" t="s">
        <v>97</v>
      </c>
      <c r="P104" s="8"/>
      <c r="Q104" s="10">
        <v>0.44791666666666669</v>
      </c>
      <c r="R104" s="8"/>
      <c r="S104" s="8"/>
      <c r="T104" s="8"/>
      <c r="U104" s="8"/>
      <c r="V104" s="10">
        <v>0.46180555555555558</v>
      </c>
      <c r="W104" s="8" t="s">
        <v>605</v>
      </c>
      <c r="X104" s="4"/>
      <c r="Y104" s="4" t="s">
        <v>606</v>
      </c>
    </row>
    <row r="105" spans="1:25" x14ac:dyDescent="0.45">
      <c r="A105" s="5">
        <v>45305</v>
      </c>
      <c r="B105" s="18">
        <f t="shared" si="3"/>
        <v>2024</v>
      </c>
      <c r="C105" s="4" t="s">
        <v>191</v>
      </c>
      <c r="D105" s="8"/>
      <c r="E105" s="8" t="s">
        <v>589</v>
      </c>
      <c r="F105" s="8" t="s">
        <v>18</v>
      </c>
      <c r="G105" s="8" t="s">
        <v>20</v>
      </c>
      <c r="H105" s="8" t="s">
        <v>96</v>
      </c>
      <c r="I105" s="8">
        <v>3.45</v>
      </c>
      <c r="J105" s="8">
        <v>3.7</v>
      </c>
      <c r="K105" s="8">
        <v>4.3600000000000003</v>
      </c>
      <c r="L105" s="16" t="s">
        <v>598</v>
      </c>
      <c r="M105" s="8">
        <v>253099</v>
      </c>
      <c r="N105" s="8">
        <v>48633</v>
      </c>
      <c r="O105" s="16" t="s">
        <v>97</v>
      </c>
      <c r="P105" s="8"/>
      <c r="Q105" s="10">
        <v>0.52986111111111112</v>
      </c>
      <c r="R105" s="8"/>
      <c r="S105" s="8"/>
      <c r="T105" s="8"/>
      <c r="U105" s="8"/>
      <c r="V105" s="10">
        <v>0.5625</v>
      </c>
      <c r="W105" s="8">
        <v>2</v>
      </c>
      <c r="X105" s="4"/>
      <c r="Y105" s="4" t="s">
        <v>607</v>
      </c>
    </row>
    <row r="106" spans="1:25" x14ac:dyDescent="0.45">
      <c r="A106" s="5">
        <v>45305</v>
      </c>
      <c r="B106" s="18">
        <f t="shared" si="3"/>
        <v>2024</v>
      </c>
      <c r="C106" s="4" t="s">
        <v>191</v>
      </c>
      <c r="D106" s="8"/>
      <c r="E106" s="8" t="s">
        <v>590</v>
      </c>
      <c r="F106" s="8" t="s">
        <v>18</v>
      </c>
      <c r="G106" s="8" t="s">
        <v>26</v>
      </c>
      <c r="H106" s="8"/>
      <c r="I106" s="8">
        <v>3.1</v>
      </c>
      <c r="J106" s="8">
        <v>3.35</v>
      </c>
      <c r="K106" s="8">
        <v>4.0199999999999996</v>
      </c>
      <c r="L106" s="16" t="s">
        <v>599</v>
      </c>
      <c r="M106" s="8">
        <v>239051</v>
      </c>
      <c r="N106" s="8">
        <v>48634</v>
      </c>
      <c r="O106" s="16" t="s">
        <v>97</v>
      </c>
      <c r="P106" s="8"/>
      <c r="Q106" s="10">
        <v>0.59791666666666665</v>
      </c>
      <c r="R106" s="8"/>
      <c r="S106" s="8"/>
      <c r="T106" s="8"/>
      <c r="U106" s="8"/>
      <c r="V106" s="10">
        <v>0.61805555555555558</v>
      </c>
      <c r="W106" s="8">
        <v>2.5</v>
      </c>
      <c r="X106" s="4"/>
      <c r="Y106" s="4"/>
    </row>
    <row r="107" spans="1:25" x14ac:dyDescent="0.45">
      <c r="A107" s="5">
        <v>45306</v>
      </c>
      <c r="B107" s="18">
        <f t="shared" si="3"/>
        <v>2024</v>
      </c>
      <c r="C107" s="4" t="s">
        <v>191</v>
      </c>
      <c r="D107" s="8" t="s">
        <v>592</v>
      </c>
      <c r="E107" s="8"/>
      <c r="F107" s="8" t="s">
        <v>18</v>
      </c>
      <c r="G107" s="8" t="s">
        <v>20</v>
      </c>
      <c r="H107" s="8" t="s">
        <v>594</v>
      </c>
      <c r="I107" s="8"/>
      <c r="J107" s="8"/>
      <c r="K107" s="8">
        <v>3.2</v>
      </c>
      <c r="L107" s="8"/>
      <c r="M107" s="16" t="s">
        <v>97</v>
      </c>
      <c r="N107" s="16" t="s">
        <v>97</v>
      </c>
      <c r="O107" s="16" t="s">
        <v>97</v>
      </c>
      <c r="P107" s="8"/>
      <c r="Q107" s="16" t="s">
        <v>97</v>
      </c>
      <c r="R107" s="8"/>
      <c r="S107" s="8"/>
      <c r="T107" s="8"/>
      <c r="U107" s="8"/>
      <c r="V107" s="16" t="s">
        <v>97</v>
      </c>
      <c r="W107" s="8" t="s">
        <v>97</v>
      </c>
      <c r="X107" s="4"/>
      <c r="Y107" s="4" t="s">
        <v>608</v>
      </c>
    </row>
    <row r="108" spans="1:25" x14ac:dyDescent="0.45">
      <c r="A108" s="5">
        <v>45307</v>
      </c>
      <c r="B108" s="18">
        <f t="shared" si="3"/>
        <v>2024</v>
      </c>
      <c r="C108" s="4" t="s">
        <v>191</v>
      </c>
      <c r="D108" s="8"/>
      <c r="E108" s="8" t="s">
        <v>591</v>
      </c>
      <c r="F108" s="8" t="s">
        <v>18</v>
      </c>
      <c r="G108" s="8" t="s">
        <v>20</v>
      </c>
      <c r="H108" s="8" t="s">
        <v>96</v>
      </c>
      <c r="I108" s="8">
        <v>3.05</v>
      </c>
      <c r="J108" s="8">
        <v>3.36</v>
      </c>
      <c r="K108" s="8">
        <v>4.08</v>
      </c>
      <c r="L108" s="16" t="s">
        <v>600</v>
      </c>
      <c r="M108" s="8">
        <v>239052</v>
      </c>
      <c r="N108" s="8">
        <v>48635</v>
      </c>
      <c r="O108" s="16" t="s">
        <v>97</v>
      </c>
      <c r="P108" s="8"/>
      <c r="Q108" s="10">
        <v>0.50763888888888886</v>
      </c>
      <c r="R108" s="8"/>
      <c r="S108" s="8"/>
      <c r="T108" s="8"/>
      <c r="U108" s="8"/>
      <c r="V108" s="10">
        <v>0.53819444444444442</v>
      </c>
      <c r="W108" s="8">
        <v>3</v>
      </c>
      <c r="X108" s="4"/>
      <c r="Y108" s="4" t="s">
        <v>609</v>
      </c>
    </row>
    <row r="109" spans="1:25" x14ac:dyDescent="0.45">
      <c r="A109" s="5">
        <v>45307</v>
      </c>
      <c r="B109" s="18">
        <f t="shared" si="3"/>
        <v>2024</v>
      </c>
      <c r="C109" s="4" t="s">
        <v>191</v>
      </c>
      <c r="D109" s="8" t="s">
        <v>550</v>
      </c>
      <c r="E109" s="8" t="s">
        <v>593</v>
      </c>
      <c r="F109" s="8" t="s">
        <v>18</v>
      </c>
      <c r="G109" s="8" t="s">
        <v>20</v>
      </c>
      <c r="H109" s="8" t="s">
        <v>595</v>
      </c>
      <c r="I109" s="16" t="s">
        <v>97</v>
      </c>
      <c r="J109" s="16" t="s">
        <v>97</v>
      </c>
      <c r="K109" s="16" t="s">
        <v>97</v>
      </c>
      <c r="L109" s="16" t="s">
        <v>97</v>
      </c>
      <c r="M109" s="16" t="s">
        <v>552</v>
      </c>
      <c r="N109" s="16" t="s">
        <v>97</v>
      </c>
      <c r="O109" s="16" t="s">
        <v>97</v>
      </c>
      <c r="P109" s="16"/>
      <c r="Q109" s="16" t="s">
        <v>97</v>
      </c>
      <c r="R109" s="16"/>
      <c r="S109" s="16"/>
      <c r="T109" s="16"/>
      <c r="U109" s="16"/>
      <c r="V109" s="16" t="s">
        <v>97</v>
      </c>
      <c r="W109" s="16" t="s">
        <v>97</v>
      </c>
      <c r="X109" s="16" t="s">
        <v>97</v>
      </c>
      <c r="Y109" s="26" t="s">
        <v>596</v>
      </c>
    </row>
    <row r="110" spans="1:25" x14ac:dyDescent="0.45">
      <c r="A110" s="5">
        <v>45307</v>
      </c>
      <c r="B110" s="18">
        <f t="shared" si="3"/>
        <v>2024</v>
      </c>
      <c r="C110" s="4" t="s">
        <v>191</v>
      </c>
      <c r="D110" s="8"/>
      <c r="E110" s="8" t="s">
        <v>615</v>
      </c>
      <c r="F110" s="8" t="s">
        <v>18</v>
      </c>
      <c r="G110" s="8" t="s">
        <v>20</v>
      </c>
      <c r="H110" s="8"/>
      <c r="I110" s="8">
        <v>2.7</v>
      </c>
      <c r="J110" s="8">
        <v>2.94</v>
      </c>
      <c r="K110" s="8">
        <v>3.64</v>
      </c>
      <c r="L110" s="16" t="s">
        <v>601</v>
      </c>
      <c r="M110" s="16" t="s">
        <v>97</v>
      </c>
      <c r="N110" s="16" t="s">
        <v>97</v>
      </c>
      <c r="O110" s="16" t="s">
        <v>97</v>
      </c>
      <c r="P110" s="8"/>
      <c r="Q110" s="10">
        <v>0.60069444444444442</v>
      </c>
      <c r="R110" s="8"/>
      <c r="S110" s="8"/>
      <c r="T110" s="8"/>
      <c r="U110" s="8"/>
      <c r="V110" s="10">
        <v>0.61458333333333337</v>
      </c>
      <c r="W110" s="8">
        <v>3</v>
      </c>
      <c r="X110" s="4"/>
      <c r="Y110" s="4" t="s">
        <v>610</v>
      </c>
    </row>
    <row r="111" spans="1:25" x14ac:dyDescent="0.45">
      <c r="A111" s="5">
        <v>45307</v>
      </c>
      <c r="B111" s="18">
        <f t="shared" si="3"/>
        <v>2024</v>
      </c>
      <c r="C111" s="4" t="s">
        <v>191</v>
      </c>
      <c r="D111" s="8"/>
      <c r="E111" s="8" t="s">
        <v>616</v>
      </c>
      <c r="F111" s="8" t="s">
        <v>18</v>
      </c>
      <c r="G111" s="8" t="s">
        <v>20</v>
      </c>
      <c r="H111" s="8" t="s">
        <v>96</v>
      </c>
      <c r="I111" s="8">
        <v>2.7</v>
      </c>
      <c r="J111" s="8">
        <v>3</v>
      </c>
      <c r="K111" s="8">
        <v>3.51</v>
      </c>
      <c r="L111" s="16" t="s">
        <v>602</v>
      </c>
      <c r="M111" s="8">
        <v>239053</v>
      </c>
      <c r="N111" s="16" t="s">
        <v>614</v>
      </c>
      <c r="O111" s="16" t="s">
        <v>97</v>
      </c>
      <c r="P111" s="8"/>
      <c r="Q111" s="10">
        <v>0.60138888888888886</v>
      </c>
      <c r="R111" s="8"/>
      <c r="S111" s="8"/>
      <c r="T111" s="8"/>
      <c r="U111" s="8"/>
      <c r="V111" s="10">
        <v>0.63124999999999998</v>
      </c>
      <c r="W111" s="8">
        <v>3</v>
      </c>
      <c r="X111" s="4"/>
      <c r="Y111" s="4" t="s">
        <v>611</v>
      </c>
    </row>
    <row r="112" spans="1:25" x14ac:dyDescent="0.45">
      <c r="A112" s="5">
        <v>45307</v>
      </c>
      <c r="B112" s="18">
        <f t="shared" si="3"/>
        <v>2024</v>
      </c>
      <c r="C112" s="4" t="s">
        <v>191</v>
      </c>
      <c r="D112" s="8"/>
      <c r="E112" s="8" t="s">
        <v>617</v>
      </c>
      <c r="F112" s="8" t="s">
        <v>18</v>
      </c>
      <c r="G112" s="8" t="s">
        <v>20</v>
      </c>
      <c r="H112" s="8" t="s">
        <v>95</v>
      </c>
      <c r="I112" s="8">
        <v>1.7</v>
      </c>
      <c r="J112" s="8">
        <v>1.88</v>
      </c>
      <c r="K112" s="8">
        <v>2.34</v>
      </c>
      <c r="L112" s="16" t="s">
        <v>603</v>
      </c>
      <c r="M112" s="16" t="s">
        <v>97</v>
      </c>
      <c r="N112" s="8">
        <v>48635</v>
      </c>
      <c r="O112" s="16" t="s">
        <v>97</v>
      </c>
      <c r="P112" s="8"/>
      <c r="Q112" s="16" t="s">
        <v>97</v>
      </c>
      <c r="R112" s="8"/>
      <c r="S112" s="8"/>
      <c r="T112" s="8"/>
      <c r="U112" s="8"/>
      <c r="V112" s="8" t="s">
        <v>604</v>
      </c>
      <c r="W112" s="8">
        <v>3</v>
      </c>
      <c r="X112" s="4"/>
      <c r="Y112" s="4" t="s">
        <v>612</v>
      </c>
    </row>
  </sheetData>
  <autoFilter ref="A1:Y103" xr:uid="{B49F609A-0090-40D9-9BEE-F9DCB0C3B13C}"/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2CE0-3829-4BC3-909D-00FA5C014343}">
  <dimension ref="A1:V167"/>
  <sheetViews>
    <sheetView zoomScale="69" workbookViewId="0">
      <pane ySplit="1" topLeftCell="A121" activePane="bottomLeft" state="frozen"/>
      <selection pane="bottomLeft" activeCell="R115" sqref="R115"/>
    </sheetView>
  </sheetViews>
  <sheetFormatPr defaultRowHeight="14.25" x14ac:dyDescent="0.45"/>
  <cols>
    <col min="1" max="1" width="10.73046875" bestFit="1" customWidth="1"/>
    <col min="2" max="2" width="10.73046875" style="19" customWidth="1"/>
    <col min="3" max="3" width="14" bestFit="1" customWidth="1"/>
    <col min="4" max="4" width="15" bestFit="1" customWidth="1"/>
    <col min="5" max="5" width="12.73046875" bestFit="1" customWidth="1"/>
    <col min="6" max="6" width="8.86328125" bestFit="1" customWidth="1"/>
    <col min="7" max="7" width="9" bestFit="1" customWidth="1"/>
    <col min="8" max="8" width="7.59765625" bestFit="1" customWidth="1"/>
    <col min="9" max="9" width="7.73046875" bestFit="1" customWidth="1"/>
    <col min="10" max="10" width="7.73046875" customWidth="1"/>
    <col min="11" max="11" width="16.59765625" bestFit="1" customWidth="1"/>
    <col min="12" max="12" width="18.33203125" bestFit="1" customWidth="1"/>
    <col min="13" max="13" width="17.6640625" bestFit="1" customWidth="1"/>
    <col min="14" max="14" width="14.6640625" bestFit="1" customWidth="1"/>
    <col min="15" max="15" width="19.1328125" bestFit="1" customWidth="1"/>
    <col min="16" max="16" width="12.73046875" bestFit="1" customWidth="1"/>
    <col min="17" max="17" width="15.265625" bestFit="1" customWidth="1"/>
    <col min="18" max="18" width="19.1328125" bestFit="1" customWidth="1"/>
    <col min="19" max="19" width="8.265625" bestFit="1" customWidth="1"/>
    <col min="20" max="20" width="8.265625" customWidth="1"/>
    <col min="21" max="21" width="56.796875" bestFit="1" customWidth="1"/>
  </cols>
  <sheetData>
    <row r="1" spans="1:22" s="2" customFormat="1" ht="15.75" x14ac:dyDescent="0.5">
      <c r="A1" s="6" t="s">
        <v>0</v>
      </c>
      <c r="B1" s="17" t="s">
        <v>415</v>
      </c>
      <c r="C1" s="6" t="s">
        <v>1</v>
      </c>
      <c r="D1" s="6" t="s">
        <v>3</v>
      </c>
      <c r="E1" s="6" t="s">
        <v>4</v>
      </c>
      <c r="F1" s="6" t="s">
        <v>5</v>
      </c>
      <c r="G1" s="6" t="s">
        <v>157</v>
      </c>
      <c r="H1" s="6" t="s">
        <v>6</v>
      </c>
      <c r="I1" s="6" t="s">
        <v>7</v>
      </c>
      <c r="J1" s="6"/>
      <c r="K1" s="6" t="s">
        <v>8</v>
      </c>
      <c r="L1" s="6" t="s">
        <v>585</v>
      </c>
      <c r="M1" s="6" t="s">
        <v>586</v>
      </c>
      <c r="N1" s="6" t="s">
        <v>27</v>
      </c>
      <c r="O1" s="6" t="s">
        <v>11</v>
      </c>
      <c r="P1" s="6" t="s">
        <v>46</v>
      </c>
      <c r="Q1" s="7" t="s">
        <v>33</v>
      </c>
      <c r="R1" s="6" t="s">
        <v>13</v>
      </c>
      <c r="S1" s="6" t="s">
        <v>114</v>
      </c>
      <c r="T1" s="6"/>
      <c r="U1" s="3" t="s">
        <v>15</v>
      </c>
      <c r="V1" s="1"/>
    </row>
    <row r="2" spans="1:22" x14ac:dyDescent="0.45">
      <c r="A2" s="5">
        <v>43882</v>
      </c>
      <c r="B2" s="18">
        <f t="shared" ref="B2:B33" si="0">YEAR(A2)</f>
        <v>2020</v>
      </c>
      <c r="C2" s="4"/>
      <c r="D2" s="8" t="s">
        <v>328</v>
      </c>
      <c r="E2" s="8" t="s">
        <v>39</v>
      </c>
      <c r="F2" s="8" t="s">
        <v>26</v>
      </c>
      <c r="G2" s="8"/>
      <c r="H2" s="8"/>
      <c r="I2" s="8">
        <v>2.46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4"/>
    </row>
    <row r="3" spans="1:22" x14ac:dyDescent="0.45">
      <c r="A3" s="5">
        <v>43882</v>
      </c>
      <c r="B3" s="18">
        <f t="shared" si="0"/>
        <v>2020</v>
      </c>
      <c r="C3" s="4"/>
      <c r="D3" s="8" t="s">
        <v>329</v>
      </c>
      <c r="E3" s="8" t="s">
        <v>39</v>
      </c>
      <c r="F3" s="8" t="s">
        <v>26</v>
      </c>
      <c r="G3" s="8"/>
      <c r="H3" s="8"/>
      <c r="I3" s="8">
        <v>1.75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4"/>
    </row>
    <row r="4" spans="1:22" x14ac:dyDescent="0.45">
      <c r="A4" s="5">
        <v>43882</v>
      </c>
      <c r="B4" s="18">
        <f t="shared" si="0"/>
        <v>2020</v>
      </c>
      <c r="C4" s="4"/>
      <c r="D4" s="8" t="s">
        <v>330</v>
      </c>
      <c r="E4" s="8" t="s">
        <v>39</v>
      </c>
      <c r="F4" s="8" t="s">
        <v>20</v>
      </c>
      <c r="G4" s="8"/>
      <c r="H4" s="8"/>
      <c r="I4" s="8">
        <v>1.85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4"/>
    </row>
    <row r="5" spans="1:22" x14ac:dyDescent="0.45">
      <c r="A5" s="5">
        <v>43882</v>
      </c>
      <c r="B5" s="18">
        <f t="shared" si="0"/>
        <v>2020</v>
      </c>
      <c r="C5" s="4"/>
      <c r="D5" s="8" t="s">
        <v>331</v>
      </c>
      <c r="E5" s="8" t="s">
        <v>39</v>
      </c>
      <c r="F5" s="8" t="s">
        <v>26</v>
      </c>
      <c r="G5" s="8"/>
      <c r="H5" s="8"/>
      <c r="I5" s="8">
        <v>1.73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4"/>
    </row>
    <row r="6" spans="1:22" x14ac:dyDescent="0.45">
      <c r="A6" s="5">
        <v>43882</v>
      </c>
      <c r="B6" s="18">
        <f t="shared" si="0"/>
        <v>2020</v>
      </c>
      <c r="C6" s="4"/>
      <c r="D6" s="8" t="s">
        <v>332</v>
      </c>
      <c r="E6" s="8" t="s">
        <v>39</v>
      </c>
      <c r="F6" s="8" t="s">
        <v>20</v>
      </c>
      <c r="G6" s="8"/>
      <c r="H6" s="8"/>
      <c r="I6" s="8">
        <v>1.58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4"/>
    </row>
    <row r="7" spans="1:22" x14ac:dyDescent="0.45">
      <c r="A7" s="5">
        <v>43887</v>
      </c>
      <c r="B7" s="18">
        <f t="shared" si="0"/>
        <v>2020</v>
      </c>
      <c r="C7" s="4"/>
      <c r="D7" s="8" t="s">
        <v>337</v>
      </c>
      <c r="E7" s="8" t="s">
        <v>39</v>
      </c>
      <c r="F7" s="8" t="s">
        <v>26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4"/>
    </row>
    <row r="8" spans="1:22" x14ac:dyDescent="0.45">
      <c r="A8" s="5">
        <v>43888</v>
      </c>
      <c r="B8" s="18">
        <f t="shared" si="0"/>
        <v>2020</v>
      </c>
      <c r="C8" s="4"/>
      <c r="D8" s="8" t="s">
        <v>348</v>
      </c>
      <c r="E8" s="8" t="s">
        <v>349</v>
      </c>
      <c r="F8" s="8" t="s">
        <v>20</v>
      </c>
      <c r="G8" s="8"/>
      <c r="H8" s="8"/>
      <c r="I8" s="8">
        <v>1.81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4" t="s">
        <v>405</v>
      </c>
    </row>
    <row r="9" spans="1:22" x14ac:dyDescent="0.45">
      <c r="A9" s="5">
        <v>43888</v>
      </c>
      <c r="B9" s="18">
        <f t="shared" si="0"/>
        <v>2020</v>
      </c>
      <c r="C9" s="4"/>
      <c r="D9" s="8" t="s">
        <v>350</v>
      </c>
      <c r="E9" s="8" t="s">
        <v>40</v>
      </c>
      <c r="F9" s="8" t="s">
        <v>20</v>
      </c>
      <c r="G9" s="8"/>
      <c r="H9" s="8"/>
      <c r="I9" s="8">
        <v>1.71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4"/>
    </row>
    <row r="10" spans="1:22" x14ac:dyDescent="0.45">
      <c r="A10" s="5">
        <v>43888</v>
      </c>
      <c r="B10" s="18">
        <f t="shared" si="0"/>
        <v>2020</v>
      </c>
      <c r="C10" s="4"/>
      <c r="D10" s="8" t="s">
        <v>351</v>
      </c>
      <c r="E10" s="8" t="s">
        <v>40</v>
      </c>
      <c r="F10" s="8" t="s">
        <v>20</v>
      </c>
      <c r="G10" s="8"/>
      <c r="H10" s="8"/>
      <c r="I10" s="8">
        <v>1.62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4"/>
    </row>
    <row r="11" spans="1:22" x14ac:dyDescent="0.45">
      <c r="A11" s="5">
        <v>43888</v>
      </c>
      <c r="B11" s="18">
        <f t="shared" si="0"/>
        <v>2020</v>
      </c>
      <c r="C11" s="4"/>
      <c r="D11" s="8" t="s">
        <v>352</v>
      </c>
      <c r="E11" s="8" t="s">
        <v>40</v>
      </c>
      <c r="F11" s="8" t="s">
        <v>20</v>
      </c>
      <c r="G11" s="8"/>
      <c r="H11" s="8"/>
      <c r="I11" s="8">
        <v>1.48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4"/>
    </row>
    <row r="12" spans="1:22" x14ac:dyDescent="0.45">
      <c r="A12" s="5">
        <v>43888</v>
      </c>
      <c r="B12" s="18">
        <f t="shared" si="0"/>
        <v>2020</v>
      </c>
      <c r="C12" s="4"/>
      <c r="D12" s="8" t="s">
        <v>353</v>
      </c>
      <c r="E12" s="8" t="s">
        <v>40</v>
      </c>
      <c r="F12" s="8" t="s">
        <v>26</v>
      </c>
      <c r="G12" s="8"/>
      <c r="H12" s="8"/>
      <c r="I12" s="8">
        <v>1.8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4"/>
    </row>
    <row r="13" spans="1:22" x14ac:dyDescent="0.45">
      <c r="A13" s="5">
        <v>43888</v>
      </c>
      <c r="B13" s="18">
        <f t="shared" si="0"/>
        <v>2020</v>
      </c>
      <c r="C13" s="4"/>
      <c r="D13" s="8" t="s">
        <v>354</v>
      </c>
      <c r="E13" s="8" t="s">
        <v>40</v>
      </c>
      <c r="F13" s="8" t="s">
        <v>20</v>
      </c>
      <c r="G13" s="8"/>
      <c r="H13" s="8"/>
      <c r="I13" s="8">
        <v>1.75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4"/>
    </row>
    <row r="14" spans="1:22" x14ac:dyDescent="0.45">
      <c r="A14" s="5">
        <v>43888</v>
      </c>
      <c r="B14" s="18">
        <f t="shared" si="0"/>
        <v>2020</v>
      </c>
      <c r="C14" s="4"/>
      <c r="D14" s="8" t="s">
        <v>355</v>
      </c>
      <c r="E14" s="8" t="s">
        <v>40</v>
      </c>
      <c r="F14" s="8" t="s">
        <v>20</v>
      </c>
      <c r="G14" s="8"/>
      <c r="H14" s="8"/>
      <c r="I14" s="8">
        <v>1.41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4"/>
    </row>
    <row r="15" spans="1:22" x14ac:dyDescent="0.45">
      <c r="A15" s="5">
        <v>43888</v>
      </c>
      <c r="B15" s="18">
        <f t="shared" si="0"/>
        <v>2020</v>
      </c>
      <c r="C15" s="4"/>
      <c r="D15" s="8" t="s">
        <v>356</v>
      </c>
      <c r="E15" s="8" t="s">
        <v>40</v>
      </c>
      <c r="F15" s="8" t="s">
        <v>26</v>
      </c>
      <c r="G15" s="8"/>
      <c r="H15" s="8"/>
      <c r="I15" s="8">
        <v>1.51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4" t="s">
        <v>406</v>
      </c>
    </row>
    <row r="16" spans="1:22" x14ac:dyDescent="0.45">
      <c r="A16" s="5">
        <v>43888</v>
      </c>
      <c r="B16" s="18">
        <f t="shared" si="0"/>
        <v>2020</v>
      </c>
      <c r="C16" s="4"/>
      <c r="D16" s="8" t="s">
        <v>357</v>
      </c>
      <c r="E16" s="8" t="s">
        <v>39</v>
      </c>
      <c r="F16" s="8" t="s">
        <v>26</v>
      </c>
      <c r="G16" s="8"/>
      <c r="H16" s="8"/>
      <c r="I16" s="8">
        <v>1.06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4"/>
    </row>
    <row r="17" spans="1:21" x14ac:dyDescent="0.45">
      <c r="A17" s="5">
        <v>43888</v>
      </c>
      <c r="B17" s="18">
        <f t="shared" si="0"/>
        <v>2020</v>
      </c>
      <c r="C17" s="4"/>
      <c r="D17" s="8" t="s">
        <v>358</v>
      </c>
      <c r="E17" s="8" t="s">
        <v>39</v>
      </c>
      <c r="F17" s="8" t="s">
        <v>20</v>
      </c>
      <c r="G17" s="8"/>
      <c r="H17" s="8"/>
      <c r="I17" s="8">
        <v>1.37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4" t="s">
        <v>407</v>
      </c>
    </row>
    <row r="18" spans="1:21" x14ac:dyDescent="0.45">
      <c r="A18" s="5">
        <v>43889</v>
      </c>
      <c r="B18" s="18">
        <f t="shared" si="0"/>
        <v>2020</v>
      </c>
      <c r="C18" s="4"/>
      <c r="D18" s="8" t="s">
        <v>369</v>
      </c>
      <c r="E18" s="8" t="s">
        <v>40</v>
      </c>
      <c r="F18" s="8" t="s">
        <v>20</v>
      </c>
      <c r="G18" s="8"/>
      <c r="H18" s="8"/>
      <c r="I18" s="8">
        <v>1.49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4"/>
    </row>
    <row r="19" spans="1:21" x14ac:dyDescent="0.45">
      <c r="A19" s="5">
        <v>43889</v>
      </c>
      <c r="B19" s="18">
        <f t="shared" si="0"/>
        <v>2020</v>
      </c>
      <c r="C19" s="4"/>
      <c r="D19" s="8" t="s">
        <v>370</v>
      </c>
      <c r="E19" s="8" t="s">
        <v>40</v>
      </c>
      <c r="F19" s="8" t="s">
        <v>20</v>
      </c>
      <c r="G19" s="8"/>
      <c r="H19" s="8"/>
      <c r="I19" s="8">
        <v>1.59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4"/>
    </row>
    <row r="20" spans="1:21" x14ac:dyDescent="0.45">
      <c r="A20" s="5">
        <v>44251</v>
      </c>
      <c r="B20" s="18">
        <f t="shared" si="0"/>
        <v>2021</v>
      </c>
      <c r="C20" s="4" t="s">
        <v>163</v>
      </c>
      <c r="D20" s="8" t="s">
        <v>164</v>
      </c>
      <c r="E20" s="8" t="s">
        <v>39</v>
      </c>
      <c r="F20" s="8" t="s">
        <v>20</v>
      </c>
      <c r="G20" s="8">
        <v>1.28</v>
      </c>
      <c r="H20" s="8"/>
      <c r="I20" s="8">
        <v>1.69</v>
      </c>
      <c r="J20" s="8"/>
      <c r="K20" s="8">
        <v>10</v>
      </c>
      <c r="L20" s="8"/>
      <c r="M20" s="8">
        <v>63796</v>
      </c>
      <c r="N20" s="8"/>
      <c r="O20" s="8"/>
      <c r="P20" s="8"/>
      <c r="Q20" s="8"/>
      <c r="R20" s="8"/>
      <c r="S20" s="8"/>
      <c r="T20" s="8"/>
      <c r="U20" s="4"/>
    </row>
    <row r="21" spans="1:21" x14ac:dyDescent="0.45">
      <c r="A21" s="5">
        <v>44251</v>
      </c>
      <c r="B21" s="18">
        <f t="shared" si="0"/>
        <v>2021</v>
      </c>
      <c r="C21" s="4" t="s">
        <v>163</v>
      </c>
      <c r="D21" s="8" t="s">
        <v>165</v>
      </c>
      <c r="E21" s="8" t="s">
        <v>39</v>
      </c>
      <c r="F21" s="8" t="s">
        <v>20</v>
      </c>
      <c r="G21" s="8">
        <v>1.8</v>
      </c>
      <c r="H21" s="8"/>
      <c r="I21" s="8">
        <v>2.2999999999999998</v>
      </c>
      <c r="J21" s="8"/>
      <c r="K21" s="8">
        <v>11</v>
      </c>
      <c r="L21" s="8"/>
      <c r="M21" s="8">
        <v>63798</v>
      </c>
      <c r="N21" s="8"/>
      <c r="O21" s="8"/>
      <c r="P21" s="8"/>
      <c r="Q21" s="8"/>
      <c r="R21" s="8"/>
      <c r="S21" s="8"/>
      <c r="T21" s="8"/>
      <c r="U21" s="4"/>
    </row>
    <row r="22" spans="1:21" x14ac:dyDescent="0.45">
      <c r="A22" s="5">
        <v>44251</v>
      </c>
      <c r="B22" s="18">
        <f t="shared" si="0"/>
        <v>2021</v>
      </c>
      <c r="C22" s="4" t="s">
        <v>163</v>
      </c>
      <c r="D22" s="8" t="s">
        <v>166</v>
      </c>
      <c r="E22" s="8" t="s">
        <v>167</v>
      </c>
      <c r="F22" s="8" t="s">
        <v>26</v>
      </c>
      <c r="G22" s="8">
        <v>1.39</v>
      </c>
      <c r="H22" s="8"/>
      <c r="I22" s="8">
        <v>1.63</v>
      </c>
      <c r="J22" s="8"/>
      <c r="K22" s="8">
        <v>12</v>
      </c>
      <c r="L22" s="8"/>
      <c r="M22" s="8">
        <v>63799</v>
      </c>
      <c r="N22" s="8"/>
      <c r="O22" s="8"/>
      <c r="P22" s="8"/>
      <c r="Q22" s="8"/>
      <c r="R22" s="8"/>
      <c r="S22" s="8"/>
      <c r="T22" s="8"/>
      <c r="U22" s="4"/>
    </row>
    <row r="23" spans="1:21" x14ac:dyDescent="0.45">
      <c r="A23" s="22">
        <v>44251</v>
      </c>
      <c r="B23" s="18">
        <f t="shared" si="0"/>
        <v>2021</v>
      </c>
      <c r="C23" s="23" t="s">
        <v>163</v>
      </c>
      <c r="D23" s="27" t="s">
        <v>168</v>
      </c>
      <c r="E23" s="27" t="s">
        <v>39</v>
      </c>
      <c r="F23" s="27" t="s">
        <v>20</v>
      </c>
      <c r="G23" s="27">
        <v>1.62</v>
      </c>
      <c r="H23" s="27"/>
      <c r="I23" s="27">
        <v>2.21</v>
      </c>
      <c r="J23" s="27"/>
      <c r="K23" s="27">
        <v>13</v>
      </c>
      <c r="L23" s="27"/>
      <c r="M23" s="27">
        <v>63800</v>
      </c>
      <c r="N23" s="27"/>
      <c r="O23" s="27"/>
      <c r="P23" s="27"/>
      <c r="Q23" s="27"/>
      <c r="R23" s="27"/>
      <c r="S23" s="27"/>
      <c r="T23" s="27"/>
      <c r="U23" s="24"/>
    </row>
    <row r="24" spans="1:21" x14ac:dyDescent="0.45">
      <c r="A24" s="5">
        <v>44251</v>
      </c>
      <c r="B24" s="18">
        <f t="shared" si="0"/>
        <v>2021</v>
      </c>
      <c r="C24" s="4" t="s">
        <v>163</v>
      </c>
      <c r="D24" s="8" t="s">
        <v>169</v>
      </c>
      <c r="E24" s="8" t="s">
        <v>40</v>
      </c>
      <c r="F24" s="8" t="s">
        <v>26</v>
      </c>
      <c r="G24" s="8"/>
      <c r="H24" s="8">
        <v>1.4</v>
      </c>
      <c r="I24" s="8">
        <v>1.68</v>
      </c>
      <c r="J24" s="8"/>
      <c r="K24" s="8">
        <v>14</v>
      </c>
      <c r="L24" s="8"/>
      <c r="M24" s="8">
        <v>63801</v>
      </c>
      <c r="N24" s="8"/>
      <c r="O24" s="8"/>
      <c r="P24" s="8"/>
      <c r="Q24" s="8"/>
      <c r="R24" s="8"/>
      <c r="S24" s="8"/>
      <c r="T24" s="8"/>
      <c r="U24" s="4"/>
    </row>
    <row r="25" spans="1:21" x14ac:dyDescent="0.45">
      <c r="A25" s="5">
        <v>44251</v>
      </c>
      <c r="B25" s="18">
        <f t="shared" si="0"/>
        <v>2021</v>
      </c>
      <c r="C25" s="4" t="s">
        <v>163</v>
      </c>
      <c r="D25" s="8" t="s">
        <v>170</v>
      </c>
      <c r="E25" s="8" t="s">
        <v>40</v>
      </c>
      <c r="F25" s="8" t="s">
        <v>20</v>
      </c>
      <c r="G25" s="8">
        <v>1.33</v>
      </c>
      <c r="H25" s="8"/>
      <c r="I25" s="8">
        <v>1.61</v>
      </c>
      <c r="J25" s="8"/>
      <c r="K25" s="8">
        <v>15</v>
      </c>
      <c r="L25" s="8"/>
      <c r="M25" s="8">
        <v>63802</v>
      </c>
      <c r="N25" s="8"/>
      <c r="O25" s="8"/>
      <c r="P25" s="8"/>
      <c r="Q25" s="8"/>
      <c r="R25" s="8"/>
      <c r="S25" s="8"/>
      <c r="T25" s="8"/>
      <c r="U25" s="4"/>
    </row>
    <row r="26" spans="1:21" x14ac:dyDescent="0.45">
      <c r="A26" s="5">
        <v>44251</v>
      </c>
      <c r="B26" s="18">
        <f t="shared" si="0"/>
        <v>2021</v>
      </c>
      <c r="C26" s="4" t="s">
        <v>163</v>
      </c>
      <c r="D26" s="8" t="s">
        <v>171</v>
      </c>
      <c r="E26" s="8" t="s">
        <v>40</v>
      </c>
      <c r="F26" s="8" t="s">
        <v>26</v>
      </c>
      <c r="G26" s="8">
        <v>1.44</v>
      </c>
      <c r="H26" s="8"/>
      <c r="I26" s="8">
        <v>1.72</v>
      </c>
      <c r="J26" s="8"/>
      <c r="K26" s="8">
        <v>16</v>
      </c>
      <c r="L26" s="8"/>
      <c r="M26" s="8">
        <v>63803</v>
      </c>
      <c r="N26" s="8"/>
      <c r="O26" s="8"/>
      <c r="P26" s="8"/>
      <c r="Q26" s="8"/>
      <c r="R26" s="8"/>
      <c r="S26" s="8"/>
      <c r="T26" s="8"/>
      <c r="U26" s="4"/>
    </row>
    <row r="27" spans="1:21" x14ac:dyDescent="0.45">
      <c r="A27" s="5">
        <v>44251</v>
      </c>
      <c r="B27" s="18">
        <f t="shared" si="0"/>
        <v>2021</v>
      </c>
      <c r="C27" s="4" t="s">
        <v>163</v>
      </c>
      <c r="D27" s="8" t="s">
        <v>172</v>
      </c>
      <c r="E27" s="8" t="s">
        <v>39</v>
      </c>
      <c r="F27" s="8" t="s">
        <v>20</v>
      </c>
      <c r="G27" s="8">
        <v>1.22</v>
      </c>
      <c r="H27" s="8"/>
      <c r="I27" s="8">
        <v>1.46</v>
      </c>
      <c r="J27" s="8"/>
      <c r="K27" s="8">
        <v>17</v>
      </c>
      <c r="L27" s="8"/>
      <c r="M27" s="8">
        <v>63804</v>
      </c>
      <c r="N27" s="8"/>
      <c r="O27" s="8"/>
      <c r="P27" s="8"/>
      <c r="Q27" s="8"/>
      <c r="R27" s="8"/>
      <c r="S27" s="8"/>
      <c r="T27" s="8"/>
      <c r="U27" s="4"/>
    </row>
    <row r="28" spans="1:21" x14ac:dyDescent="0.45">
      <c r="A28" s="5">
        <v>44252</v>
      </c>
      <c r="B28" s="18">
        <f t="shared" si="0"/>
        <v>2021</v>
      </c>
      <c r="C28" s="4" t="s">
        <v>108</v>
      </c>
      <c r="D28" s="8" t="s">
        <v>173</v>
      </c>
      <c r="E28" s="8" t="s">
        <v>39</v>
      </c>
      <c r="F28" s="8" t="s">
        <v>20</v>
      </c>
      <c r="G28" s="8">
        <v>1.79</v>
      </c>
      <c r="H28" s="8">
        <v>2</v>
      </c>
      <c r="I28" s="8">
        <v>2.4700000000000002</v>
      </c>
      <c r="J28" s="8"/>
      <c r="K28" s="8">
        <v>18</v>
      </c>
      <c r="L28" s="8"/>
      <c r="M28" s="8"/>
      <c r="N28" s="8"/>
      <c r="O28" s="8"/>
      <c r="P28" s="8"/>
      <c r="Q28" s="8"/>
      <c r="R28" s="8"/>
      <c r="S28" s="8"/>
      <c r="T28" s="8"/>
      <c r="U28" s="4" t="s">
        <v>211</v>
      </c>
    </row>
    <row r="29" spans="1:21" x14ac:dyDescent="0.45">
      <c r="A29" s="5">
        <v>44252</v>
      </c>
      <c r="B29" s="18">
        <f t="shared" si="0"/>
        <v>2021</v>
      </c>
      <c r="C29" s="4" t="s">
        <v>108</v>
      </c>
      <c r="D29" s="8" t="s">
        <v>174</v>
      </c>
      <c r="E29" s="8" t="s">
        <v>167</v>
      </c>
      <c r="F29" s="8" t="s">
        <v>26</v>
      </c>
      <c r="G29" s="8"/>
      <c r="H29" s="8">
        <v>1.66</v>
      </c>
      <c r="I29" s="8">
        <v>2.06</v>
      </c>
      <c r="J29" s="8"/>
      <c r="K29" s="8">
        <v>19</v>
      </c>
      <c r="L29" s="8"/>
      <c r="M29" s="8">
        <v>63805</v>
      </c>
      <c r="N29" s="8"/>
      <c r="O29" s="8"/>
      <c r="P29" s="8"/>
      <c r="Q29" s="8"/>
      <c r="R29" s="8"/>
      <c r="S29" s="8"/>
      <c r="T29" s="8"/>
      <c r="U29" s="4"/>
    </row>
    <row r="30" spans="1:21" x14ac:dyDescent="0.45">
      <c r="A30" s="5">
        <v>44253</v>
      </c>
      <c r="B30" s="18">
        <f t="shared" si="0"/>
        <v>2021</v>
      </c>
      <c r="C30" s="4" t="s">
        <v>175</v>
      </c>
      <c r="D30" s="8" t="s">
        <v>176</v>
      </c>
      <c r="E30" s="8" t="s">
        <v>39</v>
      </c>
      <c r="F30" s="8" t="s">
        <v>20</v>
      </c>
      <c r="G30" s="8"/>
      <c r="H30" s="8">
        <v>0.82</v>
      </c>
      <c r="I30" s="8">
        <v>1.05</v>
      </c>
      <c r="J30" s="8"/>
      <c r="K30" s="8" t="s">
        <v>177</v>
      </c>
      <c r="L30" s="8"/>
      <c r="M30" s="8"/>
      <c r="N30" s="8"/>
      <c r="O30" s="8"/>
      <c r="P30" s="8"/>
      <c r="Q30" s="8"/>
      <c r="R30" s="8"/>
      <c r="S30" s="8"/>
      <c r="T30" s="8"/>
      <c r="U30" s="4"/>
    </row>
    <row r="31" spans="1:21" x14ac:dyDescent="0.45">
      <c r="A31" s="5">
        <v>44253</v>
      </c>
      <c r="B31" s="18">
        <f t="shared" si="0"/>
        <v>2021</v>
      </c>
      <c r="C31" s="4" t="s">
        <v>175</v>
      </c>
      <c r="D31" s="8" t="s">
        <v>178</v>
      </c>
      <c r="E31" s="8" t="s">
        <v>39</v>
      </c>
      <c r="F31" s="8" t="s">
        <v>20</v>
      </c>
      <c r="G31" s="8"/>
      <c r="H31" s="8">
        <v>1.82</v>
      </c>
      <c r="I31" s="8">
        <v>2.3199999999999998</v>
      </c>
      <c r="J31" s="8"/>
      <c r="K31" s="8">
        <v>20</v>
      </c>
      <c r="L31" s="8"/>
      <c r="M31" s="8"/>
      <c r="N31" s="8"/>
      <c r="O31" s="8"/>
      <c r="P31" s="8"/>
      <c r="Q31" s="8"/>
      <c r="R31" s="8"/>
      <c r="S31" s="8"/>
      <c r="T31" s="8"/>
      <c r="U31" s="4"/>
    </row>
    <row r="32" spans="1:21" x14ac:dyDescent="0.45">
      <c r="A32" s="5">
        <v>44253</v>
      </c>
      <c r="B32" s="18">
        <f t="shared" si="0"/>
        <v>2021</v>
      </c>
      <c r="C32" s="4" t="s">
        <v>108</v>
      </c>
      <c r="D32" s="8" t="s">
        <v>179</v>
      </c>
      <c r="E32" s="8" t="s">
        <v>39</v>
      </c>
      <c r="F32" s="8" t="s">
        <v>20</v>
      </c>
      <c r="G32" s="8">
        <v>1.77</v>
      </c>
      <c r="H32" s="8">
        <v>1.98</v>
      </c>
      <c r="I32" s="8">
        <v>2.4500000000000002</v>
      </c>
      <c r="J32" s="8"/>
      <c r="K32" s="8" t="s">
        <v>177</v>
      </c>
      <c r="L32" s="8"/>
      <c r="M32" s="8">
        <v>63790</v>
      </c>
      <c r="N32" s="8"/>
      <c r="O32" s="8"/>
      <c r="P32" s="8"/>
      <c r="Q32" s="8"/>
      <c r="R32" s="8"/>
      <c r="S32" s="8"/>
      <c r="T32" s="8"/>
      <c r="U32" s="4" t="s">
        <v>212</v>
      </c>
    </row>
    <row r="33" spans="1:21" x14ac:dyDescent="0.45">
      <c r="A33" s="5">
        <v>44254</v>
      </c>
      <c r="B33" s="18">
        <f t="shared" si="0"/>
        <v>2021</v>
      </c>
      <c r="C33" s="4" t="s">
        <v>163</v>
      </c>
      <c r="D33" s="8" t="s">
        <v>180</v>
      </c>
      <c r="E33" s="8" t="s">
        <v>40</v>
      </c>
      <c r="F33" s="8" t="s">
        <v>20</v>
      </c>
      <c r="G33" s="8">
        <v>1.3</v>
      </c>
      <c r="H33" s="8">
        <v>1.49</v>
      </c>
      <c r="I33" s="8">
        <v>1.8</v>
      </c>
      <c r="J33" s="8"/>
      <c r="K33" s="8">
        <v>27</v>
      </c>
      <c r="L33" s="8"/>
      <c r="M33" s="8">
        <v>63807</v>
      </c>
      <c r="N33" s="8"/>
      <c r="O33" s="8"/>
      <c r="P33" s="8"/>
      <c r="Q33" s="8"/>
      <c r="R33" s="8"/>
      <c r="S33" s="8"/>
      <c r="T33" s="8"/>
      <c r="U33" s="4"/>
    </row>
    <row r="34" spans="1:21" x14ac:dyDescent="0.45">
      <c r="A34" s="5">
        <v>44254</v>
      </c>
      <c r="B34" s="18">
        <f t="shared" ref="B34:B65" si="1">YEAR(A34)</f>
        <v>2021</v>
      </c>
      <c r="C34" s="4" t="s">
        <v>163</v>
      </c>
      <c r="D34" s="8" t="s">
        <v>181</v>
      </c>
      <c r="E34" s="8" t="s">
        <v>39</v>
      </c>
      <c r="F34" s="8" t="s">
        <v>20</v>
      </c>
      <c r="G34" s="8">
        <v>0.96</v>
      </c>
      <c r="H34" s="8"/>
      <c r="I34" s="8">
        <v>1.32</v>
      </c>
      <c r="J34" s="8"/>
      <c r="K34" s="8">
        <v>28</v>
      </c>
      <c r="L34" s="8"/>
      <c r="M34" s="8">
        <v>63808</v>
      </c>
      <c r="N34" s="8"/>
      <c r="O34" s="8"/>
      <c r="P34" s="8"/>
      <c r="Q34" s="8"/>
      <c r="R34" s="8"/>
      <c r="S34" s="8"/>
      <c r="T34" s="8"/>
      <c r="U34" s="4"/>
    </row>
    <row r="35" spans="1:21" x14ac:dyDescent="0.45">
      <c r="A35" s="5">
        <v>44254</v>
      </c>
      <c r="B35" s="18">
        <f t="shared" si="1"/>
        <v>2021</v>
      </c>
      <c r="C35" s="4" t="s">
        <v>163</v>
      </c>
      <c r="D35" s="8" t="s">
        <v>182</v>
      </c>
      <c r="E35" s="8" t="s">
        <v>40</v>
      </c>
      <c r="F35" s="8" t="s">
        <v>20</v>
      </c>
      <c r="G35" s="8">
        <v>1.34</v>
      </c>
      <c r="H35" s="8">
        <v>1.51</v>
      </c>
      <c r="I35" s="8">
        <v>1.84</v>
      </c>
      <c r="J35" s="8"/>
      <c r="K35" s="8">
        <v>29</v>
      </c>
      <c r="L35" s="8"/>
      <c r="M35" s="8">
        <v>63809</v>
      </c>
      <c r="N35" s="8"/>
      <c r="O35" s="8"/>
      <c r="P35" s="8"/>
      <c r="Q35" s="8"/>
      <c r="R35" s="8"/>
      <c r="S35" s="8"/>
      <c r="T35" s="8"/>
      <c r="U35" s="4"/>
    </row>
    <row r="36" spans="1:21" x14ac:dyDescent="0.45">
      <c r="A36" s="5">
        <v>44254</v>
      </c>
      <c r="B36" s="18">
        <f t="shared" si="1"/>
        <v>2021</v>
      </c>
      <c r="C36" s="4" t="s">
        <v>163</v>
      </c>
      <c r="D36" s="8" t="s">
        <v>183</v>
      </c>
      <c r="E36" s="8" t="s">
        <v>40</v>
      </c>
      <c r="F36" s="8" t="s">
        <v>20</v>
      </c>
      <c r="G36" s="8">
        <v>1.38</v>
      </c>
      <c r="H36" s="8">
        <v>1.54</v>
      </c>
      <c r="I36" s="8">
        <v>1.92</v>
      </c>
      <c r="J36" s="8"/>
      <c r="K36" s="8">
        <v>30</v>
      </c>
      <c r="L36" s="8"/>
      <c r="M36" s="8">
        <v>63810</v>
      </c>
      <c r="N36" s="8"/>
      <c r="O36" s="8"/>
      <c r="P36" s="8"/>
      <c r="Q36" s="8"/>
      <c r="R36" s="8"/>
      <c r="S36" s="8"/>
      <c r="T36" s="8"/>
      <c r="U36" s="4"/>
    </row>
    <row r="37" spans="1:21" x14ac:dyDescent="0.45">
      <c r="A37" s="5">
        <v>44254</v>
      </c>
      <c r="B37" s="18">
        <f t="shared" si="1"/>
        <v>2021</v>
      </c>
      <c r="C37" s="4" t="s">
        <v>163</v>
      </c>
      <c r="D37" s="8" t="s">
        <v>184</v>
      </c>
      <c r="E37" s="8" t="s">
        <v>40</v>
      </c>
      <c r="F37" s="8" t="s">
        <v>26</v>
      </c>
      <c r="G37" s="8">
        <v>1</v>
      </c>
      <c r="H37" s="8">
        <v>1.1000000000000001</v>
      </c>
      <c r="I37" s="8">
        <v>1.33</v>
      </c>
      <c r="J37" s="8"/>
      <c r="K37" s="8">
        <v>31</v>
      </c>
      <c r="L37" s="8"/>
      <c r="M37" s="8">
        <v>63811</v>
      </c>
      <c r="N37" s="8"/>
      <c r="O37" s="8"/>
      <c r="P37" s="8"/>
      <c r="Q37" s="8"/>
      <c r="R37" s="8"/>
      <c r="S37" s="8"/>
      <c r="T37" s="8"/>
      <c r="U37" s="4" t="s">
        <v>213</v>
      </c>
    </row>
    <row r="38" spans="1:21" x14ac:dyDescent="0.45">
      <c r="A38" s="5">
        <v>44255</v>
      </c>
      <c r="B38" s="18">
        <f t="shared" si="1"/>
        <v>2021</v>
      </c>
      <c r="C38" s="4" t="s">
        <v>163</v>
      </c>
      <c r="D38" s="8" t="s">
        <v>185</v>
      </c>
      <c r="E38" s="8" t="s">
        <v>40</v>
      </c>
      <c r="F38" s="8" t="s">
        <v>26</v>
      </c>
      <c r="G38" s="8"/>
      <c r="H38" s="8">
        <v>1.32</v>
      </c>
      <c r="I38" s="8">
        <v>1.68</v>
      </c>
      <c r="J38" s="8"/>
      <c r="K38" s="8">
        <v>32</v>
      </c>
      <c r="L38" s="8"/>
      <c r="M38" s="8">
        <v>63812</v>
      </c>
      <c r="N38" s="8"/>
      <c r="O38" s="8"/>
      <c r="P38" s="8"/>
      <c r="Q38" s="8"/>
      <c r="R38" s="8"/>
      <c r="S38" s="8"/>
      <c r="T38" s="8"/>
      <c r="U38" s="4" t="s">
        <v>214</v>
      </c>
    </row>
    <row r="39" spans="1:21" x14ac:dyDescent="0.45">
      <c r="A39" s="5">
        <v>44255</v>
      </c>
      <c r="B39" s="18">
        <f t="shared" si="1"/>
        <v>2021</v>
      </c>
      <c r="C39" s="4" t="s">
        <v>163</v>
      </c>
      <c r="D39" s="8" t="s">
        <v>186</v>
      </c>
      <c r="E39" s="8" t="s">
        <v>40</v>
      </c>
      <c r="F39" s="8" t="s">
        <v>20</v>
      </c>
      <c r="G39" s="8"/>
      <c r="H39" s="8">
        <v>1.38</v>
      </c>
      <c r="I39" s="8">
        <v>1.72</v>
      </c>
      <c r="J39" s="8"/>
      <c r="K39" s="8">
        <v>33</v>
      </c>
      <c r="L39" s="8"/>
      <c r="M39" s="8">
        <v>63813</v>
      </c>
      <c r="N39" s="8"/>
      <c r="O39" s="8"/>
      <c r="P39" s="8"/>
      <c r="Q39" s="8"/>
      <c r="R39" s="8"/>
      <c r="S39" s="8"/>
      <c r="T39" s="8"/>
      <c r="U39" s="4"/>
    </row>
    <row r="40" spans="1:21" x14ac:dyDescent="0.45">
      <c r="A40" s="5">
        <v>44255</v>
      </c>
      <c r="B40" s="18">
        <f t="shared" si="1"/>
        <v>2021</v>
      </c>
      <c r="C40" s="4" t="s">
        <v>163</v>
      </c>
      <c r="D40" s="8" t="s">
        <v>187</v>
      </c>
      <c r="E40" s="8" t="s">
        <v>40</v>
      </c>
      <c r="F40" s="8" t="s">
        <v>20</v>
      </c>
      <c r="G40" s="8"/>
      <c r="H40" s="8">
        <v>1.19</v>
      </c>
      <c r="I40" s="8">
        <v>1.52</v>
      </c>
      <c r="J40" s="8"/>
      <c r="K40" s="8">
        <v>34</v>
      </c>
      <c r="L40" s="8"/>
      <c r="M40" s="8">
        <v>63814</v>
      </c>
      <c r="N40" s="8"/>
      <c r="O40" s="8"/>
      <c r="P40" s="8"/>
      <c r="Q40" s="8"/>
      <c r="R40" s="8"/>
      <c r="S40" s="8"/>
      <c r="T40" s="8"/>
      <c r="U40" s="4" t="s">
        <v>215</v>
      </c>
    </row>
    <row r="41" spans="1:21" x14ac:dyDescent="0.45">
      <c r="A41" s="5">
        <v>44255</v>
      </c>
      <c r="B41" s="18">
        <f t="shared" si="1"/>
        <v>2021</v>
      </c>
      <c r="C41" s="4" t="s">
        <v>163</v>
      </c>
      <c r="D41" s="8" t="s">
        <v>188</v>
      </c>
      <c r="E41" s="8" t="s">
        <v>40</v>
      </c>
      <c r="F41" s="8" t="s">
        <v>20</v>
      </c>
      <c r="G41" s="8"/>
      <c r="H41" s="8">
        <v>1.47</v>
      </c>
      <c r="I41" s="8">
        <v>1.78</v>
      </c>
      <c r="J41" s="8"/>
      <c r="K41" s="8">
        <v>35</v>
      </c>
      <c r="L41" s="8"/>
      <c r="M41" s="8">
        <v>63815</v>
      </c>
      <c r="N41" s="8"/>
      <c r="O41" s="8"/>
      <c r="P41" s="8"/>
      <c r="Q41" s="8"/>
      <c r="R41" s="8"/>
      <c r="S41" s="8"/>
      <c r="T41" s="8"/>
      <c r="U41" s="4" t="s">
        <v>162</v>
      </c>
    </row>
    <row r="42" spans="1:21" x14ac:dyDescent="0.45">
      <c r="A42" s="5">
        <v>44255</v>
      </c>
      <c r="B42" s="18">
        <f t="shared" si="1"/>
        <v>2021</v>
      </c>
      <c r="C42" s="4" t="s">
        <v>163</v>
      </c>
      <c r="D42" s="8" t="s">
        <v>189</v>
      </c>
      <c r="E42" s="8" t="s">
        <v>40</v>
      </c>
      <c r="F42" s="8" t="s">
        <v>20</v>
      </c>
      <c r="G42" s="8"/>
      <c r="H42" s="8">
        <v>1.25</v>
      </c>
      <c r="I42" s="8">
        <v>1.52</v>
      </c>
      <c r="J42" s="8"/>
      <c r="K42" s="8">
        <v>36</v>
      </c>
      <c r="L42" s="8"/>
      <c r="M42" s="8">
        <v>63816</v>
      </c>
      <c r="N42" s="8"/>
      <c r="O42" s="8"/>
      <c r="P42" s="8"/>
      <c r="Q42" s="8"/>
      <c r="R42" s="8"/>
      <c r="S42" s="8"/>
      <c r="T42" s="8"/>
      <c r="U42" s="4"/>
    </row>
    <row r="43" spans="1:21" x14ac:dyDescent="0.45">
      <c r="A43" s="5">
        <v>44257</v>
      </c>
      <c r="B43" s="18">
        <f t="shared" si="1"/>
        <v>2021</v>
      </c>
      <c r="C43" s="4" t="s">
        <v>175</v>
      </c>
      <c r="D43" s="8" t="s">
        <v>190</v>
      </c>
      <c r="E43" s="8" t="s">
        <v>39</v>
      </c>
      <c r="F43" s="8" t="s">
        <v>20</v>
      </c>
      <c r="G43" s="8"/>
      <c r="H43" s="8">
        <v>0.74</v>
      </c>
      <c r="I43" s="8">
        <v>0.81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4" t="s">
        <v>216</v>
      </c>
    </row>
    <row r="44" spans="1:21" x14ac:dyDescent="0.45">
      <c r="A44" s="5">
        <v>44257</v>
      </c>
      <c r="B44" s="18">
        <f t="shared" si="1"/>
        <v>2021</v>
      </c>
      <c r="C44" s="4" t="s">
        <v>191</v>
      </c>
      <c r="D44" s="8" t="s">
        <v>192</v>
      </c>
      <c r="E44" s="8" t="s">
        <v>39</v>
      </c>
      <c r="F44" s="8" t="s">
        <v>20</v>
      </c>
      <c r="G44" s="8">
        <v>0.73</v>
      </c>
      <c r="H44" s="8">
        <v>0.8</v>
      </c>
      <c r="I44" s="8">
        <v>1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4" t="s">
        <v>217</v>
      </c>
    </row>
    <row r="45" spans="1:21" x14ac:dyDescent="0.45">
      <c r="A45" s="5">
        <v>44258</v>
      </c>
      <c r="B45" s="18">
        <f t="shared" si="1"/>
        <v>2021</v>
      </c>
      <c r="C45" s="4" t="s">
        <v>108</v>
      </c>
      <c r="D45" s="8" t="s">
        <v>193</v>
      </c>
      <c r="E45" s="8" t="s">
        <v>39</v>
      </c>
      <c r="F45" s="8" t="s">
        <v>20</v>
      </c>
      <c r="G45" s="8">
        <v>1.63</v>
      </c>
      <c r="H45" s="8"/>
      <c r="I45" s="8">
        <v>2.3199999999999998</v>
      </c>
      <c r="J45" s="8"/>
      <c r="K45" s="8"/>
      <c r="L45" s="8"/>
      <c r="M45" s="8" t="s">
        <v>194</v>
      </c>
      <c r="N45" s="8"/>
      <c r="O45" s="8"/>
      <c r="P45" s="8"/>
      <c r="Q45" s="8"/>
      <c r="R45" s="8"/>
      <c r="S45" s="8"/>
      <c r="T45" s="8"/>
      <c r="U45" s="4" t="s">
        <v>218</v>
      </c>
    </row>
    <row r="46" spans="1:21" x14ac:dyDescent="0.45">
      <c r="A46" s="5">
        <v>44258</v>
      </c>
      <c r="B46" s="18">
        <f t="shared" si="1"/>
        <v>2021</v>
      </c>
      <c r="C46" s="4" t="s">
        <v>108</v>
      </c>
      <c r="D46" s="8" t="s">
        <v>195</v>
      </c>
      <c r="E46" s="8" t="s">
        <v>39</v>
      </c>
      <c r="F46" s="8" t="s">
        <v>26</v>
      </c>
      <c r="G46" s="8"/>
      <c r="H46" s="8">
        <v>1.55</v>
      </c>
      <c r="I46" s="8">
        <v>2.15</v>
      </c>
      <c r="J46" s="8"/>
      <c r="K46" s="8">
        <v>50</v>
      </c>
      <c r="L46" s="8"/>
      <c r="M46" s="21" t="s">
        <v>196</v>
      </c>
      <c r="N46" s="8"/>
      <c r="O46" s="8"/>
      <c r="P46" s="8"/>
      <c r="Q46" s="8"/>
      <c r="R46" s="8"/>
      <c r="S46" s="8"/>
      <c r="T46" s="8"/>
      <c r="U46" s="4" t="s">
        <v>218</v>
      </c>
    </row>
    <row r="47" spans="1:21" x14ac:dyDescent="0.45">
      <c r="A47" s="5">
        <v>44259</v>
      </c>
      <c r="B47" s="18">
        <f t="shared" si="1"/>
        <v>2021</v>
      </c>
      <c r="C47" s="4" t="s">
        <v>108</v>
      </c>
      <c r="D47" s="8" t="s">
        <v>197</v>
      </c>
      <c r="E47" s="8" t="s">
        <v>39</v>
      </c>
      <c r="F47" s="8" t="s">
        <v>20</v>
      </c>
      <c r="G47" s="8">
        <v>1.57</v>
      </c>
      <c r="H47" s="8"/>
      <c r="I47" s="8">
        <v>2.21</v>
      </c>
      <c r="J47" s="8"/>
      <c r="K47" s="8"/>
      <c r="L47" s="8"/>
      <c r="M47" s="8" t="s">
        <v>198</v>
      </c>
      <c r="N47" s="8"/>
      <c r="O47" s="8"/>
      <c r="P47" s="8"/>
      <c r="Q47" s="8"/>
      <c r="R47" s="8"/>
      <c r="S47" s="8"/>
      <c r="T47" s="8"/>
      <c r="U47" s="4" t="s">
        <v>218</v>
      </c>
    </row>
    <row r="48" spans="1:21" x14ac:dyDescent="0.45">
      <c r="A48" s="5">
        <v>44259</v>
      </c>
      <c r="B48" s="18">
        <f t="shared" si="1"/>
        <v>2021</v>
      </c>
      <c r="C48" s="4" t="s">
        <v>108</v>
      </c>
      <c r="D48" s="8" t="s">
        <v>199</v>
      </c>
      <c r="E48" s="8" t="s">
        <v>39</v>
      </c>
      <c r="F48" s="8" t="s">
        <v>20</v>
      </c>
      <c r="G48" s="8">
        <v>1.69</v>
      </c>
      <c r="H48" s="8"/>
      <c r="I48" s="8">
        <v>2.2999999999999998</v>
      </c>
      <c r="J48" s="8"/>
      <c r="K48" s="8"/>
      <c r="L48" s="8"/>
      <c r="M48" s="21" t="s">
        <v>200</v>
      </c>
      <c r="N48" s="8"/>
      <c r="O48" s="8"/>
      <c r="P48" s="8"/>
      <c r="Q48" s="8"/>
      <c r="R48" s="8"/>
      <c r="S48" s="8"/>
      <c r="T48" s="8"/>
      <c r="U48" s="4" t="s">
        <v>218</v>
      </c>
    </row>
    <row r="49" spans="1:21" x14ac:dyDescent="0.45">
      <c r="A49" s="5">
        <v>44259</v>
      </c>
      <c r="B49" s="18">
        <f t="shared" si="1"/>
        <v>2021</v>
      </c>
      <c r="C49" s="4" t="s">
        <v>108</v>
      </c>
      <c r="D49" s="8" t="s">
        <v>201</v>
      </c>
      <c r="E49" s="8" t="s">
        <v>39</v>
      </c>
      <c r="F49" s="8" t="s">
        <v>20</v>
      </c>
      <c r="G49" s="8">
        <v>1.49</v>
      </c>
      <c r="H49" s="8"/>
      <c r="I49" s="8">
        <v>2.0299999999999998</v>
      </c>
      <c r="J49" s="8"/>
      <c r="K49" s="8"/>
      <c r="L49" s="8"/>
      <c r="M49" s="8" t="s">
        <v>202</v>
      </c>
      <c r="N49" s="8"/>
      <c r="O49" s="8"/>
      <c r="P49" s="8"/>
      <c r="Q49" s="8"/>
      <c r="R49" s="8"/>
      <c r="S49" s="8"/>
      <c r="T49" s="8"/>
      <c r="U49" s="4" t="s">
        <v>218</v>
      </c>
    </row>
    <row r="50" spans="1:21" x14ac:dyDescent="0.45">
      <c r="A50" s="5">
        <v>44261</v>
      </c>
      <c r="B50" s="18">
        <f t="shared" si="1"/>
        <v>2021</v>
      </c>
      <c r="C50" s="4" t="s">
        <v>163</v>
      </c>
      <c r="D50" s="8" t="s">
        <v>203</v>
      </c>
      <c r="E50" s="8" t="s">
        <v>39</v>
      </c>
      <c r="F50" s="8" t="s">
        <v>20</v>
      </c>
      <c r="G50" s="8"/>
      <c r="H50" s="8">
        <v>1.84</v>
      </c>
      <c r="I50" s="8">
        <v>2.36</v>
      </c>
      <c r="J50" s="8"/>
      <c r="K50" s="8"/>
      <c r="L50" s="8"/>
      <c r="M50" s="8" t="s">
        <v>204</v>
      </c>
      <c r="N50" s="8"/>
      <c r="O50" s="8"/>
      <c r="P50" s="8"/>
      <c r="Q50" s="8"/>
      <c r="R50" s="8"/>
      <c r="S50" s="8"/>
      <c r="T50" s="8"/>
      <c r="U50" s="4" t="s">
        <v>218</v>
      </c>
    </row>
    <row r="51" spans="1:21" x14ac:dyDescent="0.45">
      <c r="A51" s="5">
        <v>44261</v>
      </c>
      <c r="B51" s="18">
        <f t="shared" si="1"/>
        <v>2021</v>
      </c>
      <c r="C51" s="4" t="s">
        <v>163</v>
      </c>
      <c r="D51" s="8" t="s">
        <v>205</v>
      </c>
      <c r="E51" s="8" t="s">
        <v>40</v>
      </c>
      <c r="F51" s="8" t="s">
        <v>26</v>
      </c>
      <c r="G51" s="8"/>
      <c r="H51" s="8">
        <v>1.34</v>
      </c>
      <c r="I51" s="8">
        <v>1.7</v>
      </c>
      <c r="J51" s="8"/>
      <c r="K51" s="8"/>
      <c r="L51" s="8"/>
      <c r="M51" s="8" t="s">
        <v>206</v>
      </c>
      <c r="N51" s="8"/>
      <c r="O51" s="8"/>
      <c r="P51" s="8"/>
      <c r="Q51" s="8"/>
      <c r="R51" s="8"/>
      <c r="S51" s="8"/>
      <c r="T51" s="8"/>
      <c r="U51" s="4" t="s">
        <v>218</v>
      </c>
    </row>
    <row r="52" spans="1:21" x14ac:dyDescent="0.45">
      <c r="A52" s="5">
        <v>44261</v>
      </c>
      <c r="B52" s="18">
        <f t="shared" si="1"/>
        <v>2021</v>
      </c>
      <c r="C52" s="4" t="s">
        <v>163</v>
      </c>
      <c r="D52" s="8" t="s">
        <v>207</v>
      </c>
      <c r="E52" s="8" t="s">
        <v>40</v>
      </c>
      <c r="F52" s="8" t="s">
        <v>20</v>
      </c>
      <c r="G52" s="8"/>
      <c r="H52" s="8">
        <v>1.04</v>
      </c>
      <c r="I52" s="8">
        <v>1.34</v>
      </c>
      <c r="J52" s="8"/>
      <c r="K52" s="8"/>
      <c r="L52" s="8"/>
      <c r="M52" s="8" t="s">
        <v>208</v>
      </c>
      <c r="N52" s="8"/>
      <c r="O52" s="8"/>
      <c r="P52" s="8"/>
      <c r="Q52" s="8"/>
      <c r="R52" s="8"/>
      <c r="S52" s="8"/>
      <c r="T52" s="8"/>
      <c r="U52" s="4" t="s">
        <v>218</v>
      </c>
    </row>
    <row r="53" spans="1:21" x14ac:dyDescent="0.45">
      <c r="A53" s="5">
        <v>44261</v>
      </c>
      <c r="B53" s="18">
        <f t="shared" si="1"/>
        <v>2021</v>
      </c>
      <c r="C53" s="4" t="s">
        <v>163</v>
      </c>
      <c r="D53" s="8" t="s">
        <v>209</v>
      </c>
      <c r="E53" s="8" t="s">
        <v>40</v>
      </c>
      <c r="F53" s="8" t="s">
        <v>20</v>
      </c>
      <c r="G53" s="8"/>
      <c r="H53" s="8">
        <v>1.21</v>
      </c>
      <c r="I53" s="8">
        <v>1.5</v>
      </c>
      <c r="J53" s="8"/>
      <c r="K53" s="8"/>
      <c r="L53" s="8"/>
      <c r="M53" s="21" t="s">
        <v>210</v>
      </c>
      <c r="N53" s="8"/>
      <c r="O53" s="8"/>
      <c r="P53" s="8"/>
      <c r="Q53" s="8"/>
      <c r="R53" s="8"/>
      <c r="S53" s="8"/>
      <c r="T53" s="8"/>
      <c r="U53" s="4" t="s">
        <v>218</v>
      </c>
    </row>
    <row r="54" spans="1:21" x14ac:dyDescent="0.45">
      <c r="A54" s="13">
        <v>44610</v>
      </c>
      <c r="B54" s="18">
        <f t="shared" si="1"/>
        <v>2022</v>
      </c>
      <c r="C54" s="8" t="s">
        <v>34</v>
      </c>
      <c r="D54" s="8" t="s">
        <v>35</v>
      </c>
      <c r="E54" s="8" t="s">
        <v>39</v>
      </c>
      <c r="F54" s="8" t="s">
        <v>26</v>
      </c>
      <c r="G54" s="8"/>
      <c r="H54" s="8"/>
      <c r="I54" s="8">
        <v>217</v>
      </c>
      <c r="J54" s="8"/>
      <c r="K54" s="8" t="s">
        <v>41</v>
      </c>
      <c r="L54" s="8"/>
      <c r="M54" s="8"/>
      <c r="N54" s="8" t="s">
        <v>42</v>
      </c>
      <c r="O54" s="10">
        <v>0.81805555555555554</v>
      </c>
      <c r="P54" s="10">
        <v>0.82013888888888886</v>
      </c>
      <c r="Q54" s="8"/>
      <c r="R54" s="10">
        <v>0.82638888888888884</v>
      </c>
      <c r="S54" s="8"/>
      <c r="T54" s="8"/>
      <c r="U54" s="4"/>
    </row>
    <row r="55" spans="1:21" x14ac:dyDescent="0.45">
      <c r="A55" s="13">
        <v>44610</v>
      </c>
      <c r="B55" s="18">
        <f t="shared" si="1"/>
        <v>2022</v>
      </c>
      <c r="C55" s="8" t="s">
        <v>34</v>
      </c>
      <c r="D55" s="8" t="s">
        <v>36</v>
      </c>
      <c r="E55" s="8" t="s">
        <v>40</v>
      </c>
      <c r="F55" s="8" t="s">
        <v>20</v>
      </c>
      <c r="G55" s="8"/>
      <c r="H55" s="8"/>
      <c r="I55" s="8">
        <v>189</v>
      </c>
      <c r="J55" s="8"/>
      <c r="K55" s="8" t="s">
        <v>41</v>
      </c>
      <c r="L55" s="8"/>
      <c r="M55" s="8"/>
      <c r="N55" s="8" t="s">
        <v>43</v>
      </c>
      <c r="O55" s="10">
        <v>0.83333333333333337</v>
      </c>
      <c r="P55" s="10">
        <v>0.83472222222222225</v>
      </c>
      <c r="Q55" s="8"/>
      <c r="R55" s="10">
        <v>0.83888888888888891</v>
      </c>
      <c r="S55" s="8"/>
      <c r="T55" s="8"/>
      <c r="U55" s="4"/>
    </row>
    <row r="56" spans="1:21" x14ac:dyDescent="0.45">
      <c r="A56" s="13">
        <v>44610</v>
      </c>
      <c r="B56" s="18">
        <f t="shared" si="1"/>
        <v>2022</v>
      </c>
      <c r="C56" s="8" t="s">
        <v>34</v>
      </c>
      <c r="D56" s="8" t="s">
        <v>37</v>
      </c>
      <c r="E56" s="8" t="s">
        <v>40</v>
      </c>
      <c r="F56" s="8" t="s">
        <v>20</v>
      </c>
      <c r="G56" s="8"/>
      <c r="H56" s="8"/>
      <c r="I56" s="8">
        <v>163</v>
      </c>
      <c r="J56" s="8"/>
      <c r="K56" s="8" t="s">
        <v>41</v>
      </c>
      <c r="L56" s="8"/>
      <c r="M56" s="8"/>
      <c r="N56" s="8" t="s">
        <v>44</v>
      </c>
      <c r="O56" s="10">
        <v>0.84305555555555556</v>
      </c>
      <c r="P56" s="10">
        <v>0.84444444444444444</v>
      </c>
      <c r="Q56" s="8"/>
      <c r="R56" s="10">
        <v>0.84791666666666676</v>
      </c>
      <c r="S56" s="8"/>
      <c r="T56" s="8"/>
      <c r="U56" s="4"/>
    </row>
    <row r="57" spans="1:21" x14ac:dyDescent="0.45">
      <c r="A57" s="13">
        <v>44610</v>
      </c>
      <c r="B57" s="18">
        <f t="shared" si="1"/>
        <v>2022</v>
      </c>
      <c r="C57" s="8" t="s">
        <v>34</v>
      </c>
      <c r="D57" s="8" t="s">
        <v>38</v>
      </c>
      <c r="E57" s="8" t="s">
        <v>40</v>
      </c>
      <c r="F57" s="8" t="s">
        <v>26</v>
      </c>
      <c r="G57" s="8"/>
      <c r="H57" s="8"/>
      <c r="I57" s="8">
        <v>156</v>
      </c>
      <c r="J57" s="8"/>
      <c r="K57" s="8" t="s">
        <v>41</v>
      </c>
      <c r="L57" s="8"/>
      <c r="M57" s="8"/>
      <c r="N57" s="8" t="s">
        <v>45</v>
      </c>
      <c r="O57" s="10">
        <v>0.84097222222222223</v>
      </c>
      <c r="P57" s="10">
        <v>0.84930555555555554</v>
      </c>
      <c r="Q57" s="8"/>
      <c r="R57" s="10">
        <v>0.86041666666666661</v>
      </c>
      <c r="S57" s="8"/>
      <c r="T57" s="8"/>
      <c r="U57" s="4"/>
    </row>
    <row r="58" spans="1:21" x14ac:dyDescent="0.45">
      <c r="A58" s="13">
        <v>44612</v>
      </c>
      <c r="B58" s="18">
        <f t="shared" si="1"/>
        <v>2022</v>
      </c>
      <c r="C58" s="8" t="s">
        <v>108</v>
      </c>
      <c r="D58" s="8" t="s">
        <v>47</v>
      </c>
      <c r="E58" s="8" t="s">
        <v>39</v>
      </c>
      <c r="F58" s="8" t="s">
        <v>20</v>
      </c>
      <c r="G58" s="8"/>
      <c r="H58" s="8"/>
      <c r="I58" s="8">
        <v>229</v>
      </c>
      <c r="J58" s="8"/>
      <c r="K58" s="8" t="s">
        <v>41</v>
      </c>
      <c r="L58" s="8"/>
      <c r="M58" s="8"/>
      <c r="N58" s="8" t="s">
        <v>54</v>
      </c>
      <c r="O58" s="10">
        <v>0.74444444444444446</v>
      </c>
      <c r="P58" s="10">
        <v>0.74652777777777779</v>
      </c>
      <c r="Q58" s="10">
        <v>0.74930555555555556</v>
      </c>
      <c r="R58" s="10">
        <v>0.74930555555555556</v>
      </c>
      <c r="S58" s="9">
        <v>7.62</v>
      </c>
      <c r="T58" s="9"/>
      <c r="U58" s="4"/>
    </row>
    <row r="59" spans="1:21" x14ac:dyDescent="0.45">
      <c r="A59" s="13">
        <v>44612</v>
      </c>
      <c r="B59" s="18">
        <f t="shared" si="1"/>
        <v>2022</v>
      </c>
      <c r="C59" s="8" t="s">
        <v>108</v>
      </c>
      <c r="D59" s="8" t="s">
        <v>48</v>
      </c>
      <c r="E59" s="8" t="s">
        <v>39</v>
      </c>
      <c r="F59" s="8" t="s">
        <v>20</v>
      </c>
      <c r="G59" s="8"/>
      <c r="H59" s="8"/>
      <c r="I59" s="8">
        <v>208</v>
      </c>
      <c r="J59" s="8"/>
      <c r="K59" s="8" t="s">
        <v>41</v>
      </c>
      <c r="L59" s="8"/>
      <c r="M59" s="8"/>
      <c r="N59" s="8" t="s">
        <v>55</v>
      </c>
      <c r="O59" s="10">
        <v>0.75347222222222221</v>
      </c>
      <c r="P59" s="10">
        <v>0.75555555555555554</v>
      </c>
      <c r="Q59" s="10">
        <v>0.75763888888888886</v>
      </c>
      <c r="R59" s="10">
        <v>0.7583333333333333</v>
      </c>
      <c r="S59" s="9">
        <v>7.34</v>
      </c>
      <c r="T59" s="9"/>
      <c r="U59" s="4"/>
    </row>
    <row r="60" spans="1:21" x14ac:dyDescent="0.45">
      <c r="A60" s="13">
        <v>44612</v>
      </c>
      <c r="B60" s="18">
        <f t="shared" si="1"/>
        <v>2022</v>
      </c>
      <c r="C60" s="8" t="s">
        <v>108</v>
      </c>
      <c r="D60" s="8" t="s">
        <v>49</v>
      </c>
      <c r="E60" s="8" t="s">
        <v>40</v>
      </c>
      <c r="F60" s="8" t="s">
        <v>20</v>
      </c>
      <c r="G60" s="8"/>
      <c r="H60" s="8"/>
      <c r="I60" s="8">
        <v>159</v>
      </c>
      <c r="J60" s="8"/>
      <c r="K60" s="8" t="s">
        <v>41</v>
      </c>
      <c r="L60" s="8"/>
      <c r="M60" s="8"/>
      <c r="N60" s="8" t="s">
        <v>56</v>
      </c>
      <c r="O60" s="10">
        <v>0.76041666666666663</v>
      </c>
      <c r="P60" s="10">
        <v>0.76180555555555562</v>
      </c>
      <c r="Q60" s="10">
        <v>0.76527777777777783</v>
      </c>
      <c r="R60" s="10">
        <v>0.76527777777777783</v>
      </c>
      <c r="S60" s="9">
        <v>7.42</v>
      </c>
      <c r="T60" s="9"/>
      <c r="U60" s="4"/>
    </row>
    <row r="61" spans="1:21" x14ac:dyDescent="0.45">
      <c r="A61" s="13">
        <v>44612</v>
      </c>
      <c r="B61" s="18">
        <f t="shared" si="1"/>
        <v>2022</v>
      </c>
      <c r="C61" s="8" t="s">
        <v>108</v>
      </c>
      <c r="D61" s="8" t="s">
        <v>50</v>
      </c>
      <c r="E61" s="8" t="s">
        <v>40</v>
      </c>
      <c r="F61" s="8" t="s">
        <v>20</v>
      </c>
      <c r="G61" s="8"/>
      <c r="H61" s="8"/>
      <c r="I61" s="8">
        <v>180</v>
      </c>
      <c r="J61" s="8"/>
      <c r="K61" s="8" t="s">
        <v>41</v>
      </c>
      <c r="L61" s="8"/>
      <c r="M61" s="8"/>
      <c r="N61" s="8" t="s">
        <v>57</v>
      </c>
      <c r="O61" s="10">
        <v>0.76736111111111116</v>
      </c>
      <c r="P61" s="10">
        <v>0.76874999999999993</v>
      </c>
      <c r="Q61" s="10">
        <v>0.77222222222222225</v>
      </c>
      <c r="R61" s="10">
        <v>0.77222222222222225</v>
      </c>
      <c r="S61" s="9">
        <v>7.57</v>
      </c>
      <c r="T61" s="9"/>
      <c r="U61" s="4"/>
    </row>
    <row r="62" spans="1:21" x14ac:dyDescent="0.45">
      <c r="A62" s="13">
        <v>44612</v>
      </c>
      <c r="B62" s="18">
        <f t="shared" si="1"/>
        <v>2022</v>
      </c>
      <c r="C62" s="8" t="s">
        <v>108</v>
      </c>
      <c r="D62" s="8" t="s">
        <v>51</v>
      </c>
      <c r="E62" s="8" t="s">
        <v>40</v>
      </c>
      <c r="F62" s="8" t="s">
        <v>20</v>
      </c>
      <c r="G62" s="8"/>
      <c r="H62" s="8"/>
      <c r="I62" s="8">
        <v>178</v>
      </c>
      <c r="J62" s="8"/>
      <c r="K62" s="8" t="s">
        <v>41</v>
      </c>
      <c r="L62" s="8"/>
      <c r="M62" s="8"/>
      <c r="N62" s="8" t="s">
        <v>58</v>
      </c>
      <c r="O62" s="10">
        <v>0.77708333333333324</v>
      </c>
      <c r="P62" s="10">
        <v>0.77847222222222223</v>
      </c>
      <c r="Q62" s="10">
        <v>0.78194444444444444</v>
      </c>
      <c r="R62" s="10">
        <v>0.78194444444444444</v>
      </c>
      <c r="S62" s="9">
        <v>7.42</v>
      </c>
      <c r="T62" s="9"/>
      <c r="U62" s="4"/>
    </row>
    <row r="63" spans="1:21" x14ac:dyDescent="0.45">
      <c r="A63" s="13">
        <v>44612</v>
      </c>
      <c r="B63" s="18">
        <f t="shared" si="1"/>
        <v>2022</v>
      </c>
      <c r="C63" s="8" t="s">
        <v>108</v>
      </c>
      <c r="D63" s="8" t="s">
        <v>52</v>
      </c>
      <c r="E63" s="8" t="s">
        <v>39</v>
      </c>
      <c r="F63" s="8" t="s">
        <v>20</v>
      </c>
      <c r="G63" s="8"/>
      <c r="H63" s="8"/>
      <c r="I63" s="8">
        <v>245</v>
      </c>
      <c r="J63" s="8"/>
      <c r="K63" s="8" t="s">
        <v>41</v>
      </c>
      <c r="L63" s="8"/>
      <c r="M63" s="8"/>
      <c r="N63" s="8" t="s">
        <v>59</v>
      </c>
      <c r="O63" s="10">
        <v>0.79583333333333339</v>
      </c>
      <c r="P63" s="10">
        <v>0.79861111111111116</v>
      </c>
      <c r="Q63" s="10">
        <v>0.80138888888888893</v>
      </c>
      <c r="R63" s="10">
        <v>0.80347222222222225</v>
      </c>
      <c r="S63" s="9">
        <v>7.2</v>
      </c>
      <c r="T63" s="9"/>
      <c r="U63" s="4" t="s">
        <v>61</v>
      </c>
    </row>
    <row r="64" spans="1:21" x14ac:dyDescent="0.45">
      <c r="A64" s="13">
        <v>44612</v>
      </c>
      <c r="B64" s="18">
        <f t="shared" si="1"/>
        <v>2022</v>
      </c>
      <c r="C64" s="8" t="s">
        <v>108</v>
      </c>
      <c r="D64" s="8" t="s">
        <v>53</v>
      </c>
      <c r="E64" s="8" t="s">
        <v>39</v>
      </c>
      <c r="F64" s="8" t="s">
        <v>26</v>
      </c>
      <c r="G64" s="8"/>
      <c r="H64" s="8"/>
      <c r="I64" s="8">
        <v>223</v>
      </c>
      <c r="J64" s="8"/>
      <c r="K64" s="8" t="s">
        <v>41</v>
      </c>
      <c r="L64" s="8"/>
      <c r="M64" s="8"/>
      <c r="N64" s="8" t="s">
        <v>60</v>
      </c>
      <c r="O64" s="10">
        <v>0.81111111111111101</v>
      </c>
      <c r="P64" s="10">
        <v>0.81319444444444444</v>
      </c>
      <c r="Q64" s="10">
        <v>0.81736111111111109</v>
      </c>
      <c r="R64" s="10">
        <v>0.81736111111111109</v>
      </c>
      <c r="S64" s="9">
        <v>7.4</v>
      </c>
      <c r="T64" s="9"/>
      <c r="U64" s="4"/>
    </row>
    <row r="65" spans="1:21" x14ac:dyDescent="0.45">
      <c r="A65" s="13">
        <v>44627</v>
      </c>
      <c r="B65" s="18">
        <f t="shared" si="1"/>
        <v>2022</v>
      </c>
      <c r="C65" s="8" t="s">
        <v>34</v>
      </c>
      <c r="D65" s="8" t="s">
        <v>119</v>
      </c>
      <c r="E65" s="8" t="s">
        <v>40</v>
      </c>
      <c r="F65" s="8" t="s">
        <v>20</v>
      </c>
      <c r="G65" s="8"/>
      <c r="H65" s="8">
        <v>142</v>
      </c>
      <c r="I65" s="8">
        <v>172</v>
      </c>
      <c r="J65" s="8"/>
      <c r="K65" s="8" t="s">
        <v>41</v>
      </c>
      <c r="L65" s="8"/>
      <c r="M65" s="8"/>
      <c r="N65" s="8" t="s">
        <v>129</v>
      </c>
      <c r="O65" s="10">
        <v>0.7895833333333333</v>
      </c>
      <c r="P65" s="10">
        <v>0.7909722222222223</v>
      </c>
      <c r="Q65" s="10">
        <v>0.79166666666666663</v>
      </c>
      <c r="R65" s="10">
        <v>0.79375000000000007</v>
      </c>
      <c r="S65" s="9">
        <v>7.43</v>
      </c>
      <c r="T65" s="9"/>
      <c r="U65" s="4"/>
    </row>
    <row r="66" spans="1:21" x14ac:dyDescent="0.45">
      <c r="A66" s="13">
        <v>44627</v>
      </c>
      <c r="B66" s="18">
        <f t="shared" ref="B66:B82" si="2">YEAR(A66)</f>
        <v>2022</v>
      </c>
      <c r="C66" s="8" t="s">
        <v>34</v>
      </c>
      <c r="D66" s="8" t="s">
        <v>120</v>
      </c>
      <c r="E66" s="8" t="s">
        <v>40</v>
      </c>
      <c r="F66" s="8" t="s">
        <v>26</v>
      </c>
      <c r="G66" s="8"/>
      <c r="H66" s="8">
        <v>151</v>
      </c>
      <c r="I66" s="8">
        <v>190</v>
      </c>
      <c r="J66" s="8"/>
      <c r="K66" s="8" t="s">
        <v>41</v>
      </c>
      <c r="L66" s="8"/>
      <c r="M66" s="8"/>
      <c r="N66" s="8" t="s">
        <v>130</v>
      </c>
      <c r="O66" s="10">
        <v>0.82152777777777775</v>
      </c>
      <c r="P66" s="10">
        <v>0.82291666666666663</v>
      </c>
      <c r="Q66" s="10">
        <v>0.82638888888888884</v>
      </c>
      <c r="R66" s="10">
        <v>0.82708333333333339</v>
      </c>
      <c r="S66" s="9">
        <v>7.42</v>
      </c>
      <c r="T66" s="9"/>
      <c r="U66" s="4"/>
    </row>
    <row r="67" spans="1:21" x14ac:dyDescent="0.45">
      <c r="A67" s="13">
        <v>44627</v>
      </c>
      <c r="B67" s="18">
        <f t="shared" si="2"/>
        <v>2022</v>
      </c>
      <c r="C67" s="8" t="s">
        <v>34</v>
      </c>
      <c r="D67" s="8" t="s">
        <v>121</v>
      </c>
      <c r="E67" s="8" t="s">
        <v>40</v>
      </c>
      <c r="F67" s="8" t="s">
        <v>26</v>
      </c>
      <c r="G67" s="8"/>
      <c r="H67" s="8">
        <v>107</v>
      </c>
      <c r="I67" s="8">
        <v>132</v>
      </c>
      <c r="J67" s="8"/>
      <c r="K67" s="8" t="s">
        <v>41</v>
      </c>
      <c r="L67" s="8"/>
      <c r="M67" s="8"/>
      <c r="N67" s="8" t="s">
        <v>131</v>
      </c>
      <c r="O67" s="10">
        <v>0.83333333333333337</v>
      </c>
      <c r="P67" s="10">
        <v>0.83472222222222225</v>
      </c>
      <c r="Q67" s="10">
        <v>0.83611111111111114</v>
      </c>
      <c r="R67" s="10">
        <v>0.83680555555555547</v>
      </c>
      <c r="S67" s="9">
        <v>7.52</v>
      </c>
      <c r="T67" s="9"/>
      <c r="U67" s="4"/>
    </row>
    <row r="68" spans="1:21" x14ac:dyDescent="0.45">
      <c r="A68" s="13">
        <v>44627</v>
      </c>
      <c r="B68" s="18">
        <f t="shared" si="2"/>
        <v>2022</v>
      </c>
      <c r="C68" s="8" t="s">
        <v>34</v>
      </c>
      <c r="D68" s="8" t="s">
        <v>122</v>
      </c>
      <c r="E68" s="8" t="s">
        <v>40</v>
      </c>
      <c r="F68" s="8" t="s">
        <v>26</v>
      </c>
      <c r="G68" s="8"/>
      <c r="H68" s="8">
        <v>124</v>
      </c>
      <c r="I68" s="8">
        <v>157</v>
      </c>
      <c r="J68" s="8"/>
      <c r="K68" s="8" t="s">
        <v>41</v>
      </c>
      <c r="L68" s="8"/>
      <c r="M68" s="8"/>
      <c r="N68" s="8" t="s">
        <v>132</v>
      </c>
      <c r="O68" s="10">
        <v>0.83888888888888891</v>
      </c>
      <c r="P68" s="10">
        <v>0.84027777777777779</v>
      </c>
      <c r="Q68" s="10">
        <v>0.84097222222222223</v>
      </c>
      <c r="R68" s="10">
        <v>0.84236111111111101</v>
      </c>
      <c r="S68" s="9">
        <v>7.57</v>
      </c>
      <c r="T68" s="9"/>
      <c r="U68" s="4"/>
    </row>
    <row r="69" spans="1:21" x14ac:dyDescent="0.45">
      <c r="A69" s="13">
        <v>44627</v>
      </c>
      <c r="B69" s="18">
        <f t="shared" si="2"/>
        <v>2022</v>
      </c>
      <c r="C69" s="8" t="s">
        <v>34</v>
      </c>
      <c r="D69" s="8" t="s">
        <v>123</v>
      </c>
      <c r="E69" s="8" t="s">
        <v>40</v>
      </c>
      <c r="F69" s="8" t="s">
        <v>20</v>
      </c>
      <c r="G69" s="8"/>
      <c r="H69" s="8">
        <v>140</v>
      </c>
      <c r="I69" s="8">
        <v>169</v>
      </c>
      <c r="J69" s="8"/>
      <c r="K69" s="8" t="s">
        <v>41</v>
      </c>
      <c r="L69" s="8"/>
      <c r="M69" s="8"/>
      <c r="N69" s="8" t="s">
        <v>133</v>
      </c>
      <c r="O69" s="10">
        <v>0.84652777777777777</v>
      </c>
      <c r="P69" s="10">
        <v>0.84861111111111109</v>
      </c>
      <c r="Q69" s="10">
        <v>0.84930555555555554</v>
      </c>
      <c r="R69" s="10">
        <v>0.85138888888888886</v>
      </c>
      <c r="S69" s="9">
        <v>7.57</v>
      </c>
      <c r="T69" s="9"/>
      <c r="U69" s="4"/>
    </row>
    <row r="70" spans="1:21" x14ac:dyDescent="0.45">
      <c r="A70" s="13">
        <v>44627</v>
      </c>
      <c r="B70" s="18">
        <f t="shared" si="2"/>
        <v>2022</v>
      </c>
      <c r="C70" s="8" t="s">
        <v>34</v>
      </c>
      <c r="D70" s="8" t="s">
        <v>124</v>
      </c>
      <c r="E70" s="8" t="s">
        <v>40</v>
      </c>
      <c r="F70" s="8" t="s">
        <v>26</v>
      </c>
      <c r="G70" s="8"/>
      <c r="H70" s="8">
        <v>116</v>
      </c>
      <c r="I70" s="8">
        <v>145</v>
      </c>
      <c r="J70" s="8"/>
      <c r="K70" s="8" t="s">
        <v>41</v>
      </c>
      <c r="L70" s="8"/>
      <c r="M70" s="8"/>
      <c r="N70" s="8" t="s">
        <v>134</v>
      </c>
      <c r="O70" s="10">
        <v>0.77222222222222225</v>
      </c>
      <c r="P70" s="10">
        <v>0.7729166666666667</v>
      </c>
      <c r="Q70" s="10">
        <v>0.77430555555555547</v>
      </c>
      <c r="R70" s="10">
        <v>0.77708333333333324</v>
      </c>
      <c r="S70" s="9">
        <v>7.6</v>
      </c>
      <c r="T70" s="9"/>
      <c r="U70" s="8" t="s">
        <v>139</v>
      </c>
    </row>
    <row r="71" spans="1:21" x14ac:dyDescent="0.45">
      <c r="A71" s="13">
        <v>44627</v>
      </c>
      <c r="B71" s="18">
        <f t="shared" si="2"/>
        <v>2022</v>
      </c>
      <c r="C71" s="8" t="s">
        <v>34</v>
      </c>
      <c r="D71" s="8" t="s">
        <v>125</v>
      </c>
      <c r="E71" s="8" t="s">
        <v>40</v>
      </c>
      <c r="F71" s="8" t="s">
        <v>20</v>
      </c>
      <c r="G71" s="8"/>
      <c r="H71" s="8">
        <v>132</v>
      </c>
      <c r="I71" s="8">
        <v>160</v>
      </c>
      <c r="J71" s="8"/>
      <c r="K71" s="8" t="s">
        <v>41</v>
      </c>
      <c r="L71" s="8"/>
      <c r="M71" s="8"/>
      <c r="N71" s="8" t="s">
        <v>135</v>
      </c>
      <c r="O71" s="10">
        <v>0.78333333333333333</v>
      </c>
      <c r="P71" s="10">
        <v>0.78472222222222221</v>
      </c>
      <c r="Q71" s="10">
        <v>0.78541666666666676</v>
      </c>
      <c r="R71" s="10">
        <v>0.78749999999999998</v>
      </c>
      <c r="S71" s="9">
        <v>7.63</v>
      </c>
      <c r="T71" s="9"/>
      <c r="U71" s="8" t="s">
        <v>140</v>
      </c>
    </row>
    <row r="72" spans="1:21" x14ac:dyDescent="0.45">
      <c r="A72" s="5">
        <v>44799</v>
      </c>
      <c r="B72" s="18">
        <f t="shared" si="2"/>
        <v>2022</v>
      </c>
      <c r="C72" s="8" t="s">
        <v>108</v>
      </c>
      <c r="D72" s="8"/>
      <c r="E72" s="8" t="s">
        <v>40</v>
      </c>
      <c r="F72" s="8" t="s">
        <v>20</v>
      </c>
      <c r="G72" s="8">
        <v>140</v>
      </c>
      <c r="H72" s="8" t="s">
        <v>97</v>
      </c>
      <c r="I72" s="8">
        <v>190</v>
      </c>
      <c r="J72" s="8"/>
      <c r="K72" s="8">
        <v>226</v>
      </c>
      <c r="L72" s="8">
        <v>1531025</v>
      </c>
      <c r="M72" s="8">
        <v>56418</v>
      </c>
      <c r="N72" s="8"/>
      <c r="O72" s="8"/>
      <c r="P72" s="10">
        <v>0.74930555555555556</v>
      </c>
      <c r="Q72" s="8"/>
      <c r="R72" s="10">
        <v>0.75347222222222221</v>
      </c>
      <c r="S72" s="8"/>
      <c r="T72" s="8"/>
      <c r="U72" s="8" t="s">
        <v>158</v>
      </c>
    </row>
    <row r="73" spans="1:21" x14ac:dyDescent="0.45">
      <c r="A73" s="5">
        <v>44799</v>
      </c>
      <c r="B73" s="18">
        <f t="shared" si="2"/>
        <v>2022</v>
      </c>
      <c r="C73" s="8" t="s">
        <v>108</v>
      </c>
      <c r="D73" s="8"/>
      <c r="E73" s="8" t="s">
        <v>40</v>
      </c>
      <c r="F73" s="8" t="s">
        <v>20</v>
      </c>
      <c r="G73" s="8">
        <v>146</v>
      </c>
      <c r="H73" s="8">
        <v>165</v>
      </c>
      <c r="I73" s="8">
        <v>197</v>
      </c>
      <c r="J73" s="8"/>
      <c r="K73" s="8">
        <v>227</v>
      </c>
      <c r="L73" s="8">
        <v>1531026</v>
      </c>
      <c r="M73" s="8">
        <v>56419</v>
      </c>
      <c r="N73" s="8"/>
      <c r="O73" s="8"/>
      <c r="P73" s="10">
        <v>0.7729166666666667</v>
      </c>
      <c r="Q73" s="8"/>
      <c r="R73" s="10">
        <v>0.77847222222222223</v>
      </c>
      <c r="S73" s="8"/>
      <c r="T73" s="8"/>
      <c r="U73" s="8" t="s">
        <v>158</v>
      </c>
    </row>
    <row r="74" spans="1:21" x14ac:dyDescent="0.45">
      <c r="A74" s="5">
        <v>44799</v>
      </c>
      <c r="B74" s="18">
        <f t="shared" si="2"/>
        <v>2022</v>
      </c>
      <c r="C74" s="8" t="s">
        <v>108</v>
      </c>
      <c r="D74" s="8"/>
      <c r="E74" s="8" t="s">
        <v>40</v>
      </c>
      <c r="F74" s="8" t="s">
        <v>20</v>
      </c>
      <c r="G74" s="8">
        <v>142</v>
      </c>
      <c r="H74" s="8">
        <v>158</v>
      </c>
      <c r="I74" s="8">
        <v>188</v>
      </c>
      <c r="J74" s="8"/>
      <c r="K74" s="8">
        <v>228</v>
      </c>
      <c r="L74" s="8">
        <v>1531027</v>
      </c>
      <c r="M74" s="8">
        <v>56420</v>
      </c>
      <c r="N74" s="8"/>
      <c r="O74" s="8"/>
      <c r="P74" s="10">
        <v>0.78611111111111109</v>
      </c>
      <c r="Q74" s="8"/>
      <c r="R74" s="10">
        <v>0.7909722222222223</v>
      </c>
      <c r="S74" s="8"/>
      <c r="T74" s="8"/>
      <c r="U74" s="8" t="s">
        <v>159</v>
      </c>
    </row>
    <row r="75" spans="1:21" x14ac:dyDescent="0.45">
      <c r="A75" s="5">
        <v>44800</v>
      </c>
      <c r="B75" s="18">
        <f t="shared" si="2"/>
        <v>2022</v>
      </c>
      <c r="C75" s="8" t="s">
        <v>34</v>
      </c>
      <c r="D75" s="8"/>
      <c r="E75" s="8" t="s">
        <v>39</v>
      </c>
      <c r="F75" s="8" t="s">
        <v>20</v>
      </c>
      <c r="G75" s="8">
        <v>123</v>
      </c>
      <c r="H75" s="8">
        <v>136</v>
      </c>
      <c r="I75" s="8">
        <v>165</v>
      </c>
      <c r="J75" s="8"/>
      <c r="K75" s="8">
        <v>229</v>
      </c>
      <c r="L75" s="8">
        <v>1531028</v>
      </c>
      <c r="M75" s="8">
        <v>56421</v>
      </c>
      <c r="N75" s="8"/>
      <c r="O75" s="8"/>
      <c r="P75" s="10">
        <v>0.7368055555555556</v>
      </c>
      <c r="Q75" s="8"/>
      <c r="R75" s="10">
        <v>0.74097222222222225</v>
      </c>
      <c r="S75" s="8"/>
      <c r="T75" s="8"/>
      <c r="U75" s="8" t="s">
        <v>160</v>
      </c>
    </row>
    <row r="76" spans="1:21" x14ac:dyDescent="0.45">
      <c r="A76" s="5">
        <v>44801</v>
      </c>
      <c r="B76" s="18">
        <f t="shared" si="2"/>
        <v>2022</v>
      </c>
      <c r="C76" s="8" t="s">
        <v>34</v>
      </c>
      <c r="D76" s="8"/>
      <c r="E76" s="8" t="s">
        <v>40</v>
      </c>
      <c r="F76" s="8" t="s">
        <v>20</v>
      </c>
      <c r="G76" s="8">
        <v>136</v>
      </c>
      <c r="H76" s="8">
        <v>152</v>
      </c>
      <c r="I76" s="8">
        <v>186</v>
      </c>
      <c r="J76" s="8"/>
      <c r="K76" s="8">
        <v>230</v>
      </c>
      <c r="L76" s="8">
        <v>1531029</v>
      </c>
      <c r="M76" s="8">
        <v>56422</v>
      </c>
      <c r="N76" s="8"/>
      <c r="O76" s="8"/>
      <c r="P76" s="10">
        <v>0.7284722222222223</v>
      </c>
      <c r="Q76" s="8"/>
      <c r="R76" s="10">
        <v>0.73263888888888884</v>
      </c>
      <c r="S76" s="8"/>
      <c r="T76" s="8"/>
      <c r="U76" s="8" t="s">
        <v>161</v>
      </c>
    </row>
    <row r="77" spans="1:21" x14ac:dyDescent="0.45">
      <c r="A77" s="5">
        <v>44802</v>
      </c>
      <c r="B77" s="18">
        <f t="shared" si="2"/>
        <v>2022</v>
      </c>
      <c r="C77" s="8" t="s">
        <v>108</v>
      </c>
      <c r="D77" s="8"/>
      <c r="E77" s="8" t="s">
        <v>40</v>
      </c>
      <c r="F77" s="8" t="s">
        <v>20</v>
      </c>
      <c r="G77" s="8">
        <v>143</v>
      </c>
      <c r="H77" s="8">
        <v>163</v>
      </c>
      <c r="I77" s="8">
        <v>194</v>
      </c>
      <c r="J77" s="8"/>
      <c r="K77" s="8">
        <v>231</v>
      </c>
      <c r="L77" s="8">
        <v>1531030</v>
      </c>
      <c r="M77" s="8">
        <v>56423</v>
      </c>
      <c r="N77" s="8"/>
      <c r="O77" s="8"/>
      <c r="P77" s="10">
        <v>0.7402777777777777</v>
      </c>
      <c r="Q77" s="8"/>
      <c r="R77" s="10">
        <v>0.74375000000000002</v>
      </c>
      <c r="S77" s="8"/>
      <c r="T77" s="8"/>
      <c r="U77" s="4"/>
    </row>
    <row r="78" spans="1:21" x14ac:dyDescent="0.45">
      <c r="A78" s="5">
        <v>44802</v>
      </c>
      <c r="B78" s="18">
        <f t="shared" si="2"/>
        <v>2022</v>
      </c>
      <c r="C78" s="8" t="s">
        <v>108</v>
      </c>
      <c r="D78" s="8"/>
      <c r="E78" s="8" t="s">
        <v>39</v>
      </c>
      <c r="F78" s="8" t="s">
        <v>20</v>
      </c>
      <c r="G78" s="8">
        <v>180</v>
      </c>
      <c r="H78" s="8">
        <v>198</v>
      </c>
      <c r="I78" s="8">
        <v>253</v>
      </c>
      <c r="J78" s="8"/>
      <c r="K78" s="8">
        <v>232</v>
      </c>
      <c r="L78" s="8">
        <v>1531031</v>
      </c>
      <c r="M78" s="8">
        <v>56424</v>
      </c>
      <c r="N78" s="8"/>
      <c r="O78" s="8"/>
      <c r="P78" s="10">
        <v>0.74930555555555556</v>
      </c>
      <c r="Q78" s="8"/>
      <c r="R78" s="10">
        <v>0.75416666666666676</v>
      </c>
      <c r="S78" s="8"/>
      <c r="T78" s="8"/>
      <c r="U78" s="8" t="s">
        <v>162</v>
      </c>
    </row>
    <row r="79" spans="1:21" x14ac:dyDescent="0.45">
      <c r="A79" s="5">
        <v>44802</v>
      </c>
      <c r="B79" s="18">
        <f t="shared" si="2"/>
        <v>2022</v>
      </c>
      <c r="C79" s="8" t="s">
        <v>108</v>
      </c>
      <c r="D79" s="8"/>
      <c r="E79" s="8" t="s">
        <v>40</v>
      </c>
      <c r="F79" s="8" t="s">
        <v>20</v>
      </c>
      <c r="G79" s="8">
        <v>104</v>
      </c>
      <c r="H79" s="8">
        <v>115</v>
      </c>
      <c r="I79" s="8">
        <v>142</v>
      </c>
      <c r="J79" s="8"/>
      <c r="K79" s="8">
        <v>233</v>
      </c>
      <c r="L79" s="8">
        <v>1531032</v>
      </c>
      <c r="M79" s="8">
        <v>56425</v>
      </c>
      <c r="N79" s="8"/>
      <c r="O79" s="8"/>
      <c r="P79" s="10">
        <v>0.78055555555555556</v>
      </c>
      <c r="Q79" s="8"/>
      <c r="R79" s="10">
        <v>0.78402777777777777</v>
      </c>
      <c r="S79" s="8"/>
      <c r="T79" s="8"/>
      <c r="U79" s="4"/>
    </row>
    <row r="80" spans="1:21" x14ac:dyDescent="0.45">
      <c r="A80" s="5">
        <v>44804</v>
      </c>
      <c r="B80" s="18">
        <f t="shared" si="2"/>
        <v>2022</v>
      </c>
      <c r="C80" s="8" t="s">
        <v>108</v>
      </c>
      <c r="D80" s="8"/>
      <c r="E80" s="8" t="s">
        <v>39</v>
      </c>
      <c r="F80" s="8" t="s">
        <v>20</v>
      </c>
      <c r="G80" s="8">
        <v>160</v>
      </c>
      <c r="H80" s="8">
        <v>180</v>
      </c>
      <c r="I80" s="8">
        <v>216</v>
      </c>
      <c r="J80" s="8"/>
      <c r="K80" s="8">
        <v>234</v>
      </c>
      <c r="L80" s="8">
        <v>1531033</v>
      </c>
      <c r="M80" s="8">
        <v>56426</v>
      </c>
      <c r="N80" s="8"/>
      <c r="O80" s="8"/>
      <c r="P80" s="10">
        <v>0.76458333333333339</v>
      </c>
      <c r="Q80" s="8"/>
      <c r="R80" s="10">
        <v>0.7680555555555556</v>
      </c>
      <c r="S80" s="8"/>
      <c r="T80" s="8"/>
      <c r="U80" s="4"/>
    </row>
    <row r="81" spans="1:21" x14ac:dyDescent="0.45">
      <c r="A81" s="5">
        <v>44804</v>
      </c>
      <c r="B81" s="18">
        <f t="shared" si="2"/>
        <v>2022</v>
      </c>
      <c r="C81" s="8" t="s">
        <v>108</v>
      </c>
      <c r="D81" s="8"/>
      <c r="E81" s="8" t="s">
        <v>40</v>
      </c>
      <c r="F81" s="8" t="s">
        <v>20</v>
      </c>
      <c r="G81" s="8">
        <v>102</v>
      </c>
      <c r="H81" s="8">
        <v>115</v>
      </c>
      <c r="I81" s="8">
        <v>139</v>
      </c>
      <c r="J81" s="8"/>
      <c r="K81" s="8">
        <v>235</v>
      </c>
      <c r="L81" s="8">
        <v>1531034</v>
      </c>
      <c r="M81" s="8">
        <v>56427</v>
      </c>
      <c r="N81" s="8"/>
      <c r="O81" s="8"/>
      <c r="P81" s="10">
        <v>0.80138888888888893</v>
      </c>
      <c r="Q81" s="8"/>
      <c r="R81" s="10">
        <v>0.80486111111111114</v>
      </c>
      <c r="S81" s="8"/>
      <c r="T81" s="8"/>
      <c r="U81" s="4"/>
    </row>
    <row r="82" spans="1:21" x14ac:dyDescent="0.45">
      <c r="A82" s="5">
        <v>44804</v>
      </c>
      <c r="B82" s="18">
        <f t="shared" si="2"/>
        <v>2022</v>
      </c>
      <c r="C82" s="8" t="s">
        <v>108</v>
      </c>
      <c r="D82" s="8"/>
      <c r="E82" s="8" t="s">
        <v>40</v>
      </c>
      <c r="F82" s="8" t="s">
        <v>20</v>
      </c>
      <c r="G82" s="8">
        <v>111</v>
      </c>
      <c r="H82" s="8">
        <v>123</v>
      </c>
      <c r="I82" s="8">
        <v>147</v>
      </c>
      <c r="J82" s="8">
        <f>I82/33</f>
        <v>4.4545454545454541</v>
      </c>
      <c r="K82" s="8">
        <v>236</v>
      </c>
      <c r="L82" s="8">
        <v>1531035</v>
      </c>
      <c r="M82" s="8">
        <v>56428</v>
      </c>
      <c r="N82" s="8"/>
      <c r="O82" s="8"/>
      <c r="P82" s="10">
        <v>0.81319444444444444</v>
      </c>
      <c r="Q82" s="8"/>
      <c r="R82" s="10">
        <v>0.81666666666666676</v>
      </c>
      <c r="S82" s="8"/>
      <c r="T82" s="8"/>
      <c r="U82" s="8" t="s">
        <v>558</v>
      </c>
    </row>
    <row r="83" spans="1:21" x14ac:dyDescent="0.45">
      <c r="A83" s="21" t="s">
        <v>97</v>
      </c>
      <c r="B83" s="18">
        <v>2022</v>
      </c>
      <c r="C83" s="21"/>
      <c r="D83" s="8"/>
      <c r="E83" s="21" t="s">
        <v>97</v>
      </c>
      <c r="F83" s="21" t="s">
        <v>97</v>
      </c>
      <c r="G83" s="8"/>
      <c r="H83" s="8"/>
      <c r="I83" s="21" t="s">
        <v>97</v>
      </c>
      <c r="J83" s="21"/>
      <c r="K83" s="21" t="s">
        <v>97</v>
      </c>
      <c r="L83" s="12">
        <v>1531036</v>
      </c>
      <c r="M83" s="8">
        <v>56429</v>
      </c>
      <c r="N83" s="8"/>
      <c r="O83" s="8"/>
      <c r="P83" s="8"/>
      <c r="Q83" s="8"/>
      <c r="R83" s="8"/>
      <c r="S83" s="8"/>
      <c r="T83" s="8"/>
      <c r="U83" s="8" t="s">
        <v>416</v>
      </c>
    </row>
    <row r="84" spans="1:21" x14ac:dyDescent="0.45">
      <c r="A84" s="21" t="s">
        <v>97</v>
      </c>
      <c r="B84" s="18">
        <v>2022</v>
      </c>
      <c r="C84" s="21"/>
      <c r="D84" s="8"/>
      <c r="E84" s="8" t="s">
        <v>39</v>
      </c>
      <c r="F84" s="8" t="s">
        <v>26</v>
      </c>
      <c r="G84" s="8"/>
      <c r="H84" s="8"/>
      <c r="I84" s="8">
        <v>209</v>
      </c>
      <c r="J84" s="8"/>
      <c r="K84" s="8">
        <v>237</v>
      </c>
      <c r="L84" s="12">
        <v>1531064</v>
      </c>
      <c r="M84" s="8">
        <v>56457</v>
      </c>
      <c r="N84" s="8"/>
      <c r="O84" s="8"/>
      <c r="P84" s="8"/>
      <c r="Q84" s="8"/>
      <c r="R84" s="8"/>
      <c r="S84" s="8"/>
      <c r="T84" s="8"/>
      <c r="U84" s="8" t="s">
        <v>416</v>
      </c>
    </row>
    <row r="85" spans="1:21" x14ac:dyDescent="0.45">
      <c r="A85" s="21" t="s">
        <v>97</v>
      </c>
      <c r="B85" s="18">
        <v>2022</v>
      </c>
      <c r="C85" s="21"/>
      <c r="D85" s="8"/>
      <c r="E85" s="8" t="s">
        <v>39</v>
      </c>
      <c r="F85" s="8" t="s">
        <v>26</v>
      </c>
      <c r="G85" s="8"/>
      <c r="H85" s="8"/>
      <c r="I85" s="8">
        <v>230</v>
      </c>
      <c r="J85" s="8"/>
      <c r="K85" s="8">
        <v>238</v>
      </c>
      <c r="L85" s="12">
        <v>1531063</v>
      </c>
      <c r="M85" s="8">
        <v>56456</v>
      </c>
      <c r="N85" s="8"/>
      <c r="O85" s="8"/>
      <c r="P85" s="8"/>
      <c r="Q85" s="8"/>
      <c r="R85" s="8"/>
      <c r="S85" s="8"/>
      <c r="T85" s="8"/>
      <c r="U85" s="8" t="s">
        <v>416</v>
      </c>
    </row>
    <row r="86" spans="1:21" x14ac:dyDescent="0.45">
      <c r="A86" s="21" t="s">
        <v>97</v>
      </c>
      <c r="B86" s="18">
        <v>2022</v>
      </c>
      <c r="C86" s="21"/>
      <c r="D86" s="8"/>
      <c r="E86" s="8" t="s">
        <v>40</v>
      </c>
      <c r="F86" s="8" t="s">
        <v>20</v>
      </c>
      <c r="G86" s="8"/>
      <c r="H86" s="8"/>
      <c r="I86" s="8">
        <v>142</v>
      </c>
      <c r="J86" s="8"/>
      <c r="K86" s="8">
        <v>239</v>
      </c>
      <c r="L86" s="12">
        <v>1531062</v>
      </c>
      <c r="M86" s="8">
        <v>56455</v>
      </c>
      <c r="N86" s="8"/>
      <c r="O86" s="8"/>
      <c r="P86" s="8"/>
      <c r="Q86" s="8"/>
      <c r="R86" s="8"/>
      <c r="S86" s="8"/>
      <c r="T86" s="8"/>
      <c r="U86" s="8" t="s">
        <v>416</v>
      </c>
    </row>
    <row r="87" spans="1:21" x14ac:dyDescent="0.45">
      <c r="A87" s="21" t="s">
        <v>97</v>
      </c>
      <c r="B87" s="18">
        <v>2022</v>
      </c>
      <c r="C87" s="21"/>
      <c r="D87" s="8"/>
      <c r="E87" s="8" t="s">
        <v>39</v>
      </c>
      <c r="F87" s="8" t="s">
        <v>20</v>
      </c>
      <c r="G87" s="8"/>
      <c r="H87" s="8"/>
      <c r="I87" s="8">
        <v>226</v>
      </c>
      <c r="J87" s="8"/>
      <c r="K87" s="8">
        <v>240</v>
      </c>
      <c r="L87" s="12">
        <v>1531061</v>
      </c>
      <c r="M87" s="8">
        <v>56454</v>
      </c>
      <c r="N87" s="8"/>
      <c r="O87" s="8"/>
      <c r="P87" s="8"/>
      <c r="Q87" s="8"/>
      <c r="R87" s="8"/>
      <c r="S87" s="8"/>
      <c r="T87" s="8"/>
      <c r="U87" s="8" t="s">
        <v>416</v>
      </c>
    </row>
    <row r="88" spans="1:21" x14ac:dyDescent="0.45">
      <c r="A88" s="21" t="s">
        <v>97</v>
      </c>
      <c r="B88" s="18">
        <v>2022</v>
      </c>
      <c r="C88" s="21"/>
      <c r="D88" s="8"/>
      <c r="E88" s="8" t="s">
        <v>39</v>
      </c>
      <c r="F88" s="8" t="s">
        <v>20</v>
      </c>
      <c r="G88" s="8"/>
      <c r="H88" s="8"/>
      <c r="I88" s="8">
        <v>193</v>
      </c>
      <c r="J88" s="8"/>
      <c r="K88" s="8">
        <v>241</v>
      </c>
      <c r="L88" s="12">
        <v>1531049</v>
      </c>
      <c r="M88" s="8">
        <v>56442</v>
      </c>
      <c r="N88" s="8"/>
      <c r="O88" s="8"/>
      <c r="P88" s="8"/>
      <c r="Q88" s="8"/>
      <c r="R88" s="8"/>
      <c r="S88" s="8"/>
      <c r="T88" s="8"/>
      <c r="U88" s="8" t="s">
        <v>416</v>
      </c>
    </row>
    <row r="89" spans="1:21" x14ac:dyDescent="0.45">
      <c r="A89" s="21" t="s">
        <v>97</v>
      </c>
      <c r="B89" s="18">
        <v>2022</v>
      </c>
      <c r="C89" s="21"/>
      <c r="D89" s="8"/>
      <c r="E89" s="8" t="s">
        <v>39</v>
      </c>
      <c r="F89" s="8" t="s">
        <v>20</v>
      </c>
      <c r="G89" s="8"/>
      <c r="H89" s="8"/>
      <c r="I89" s="8">
        <v>242</v>
      </c>
      <c r="J89" s="8"/>
      <c r="K89" s="8">
        <v>242</v>
      </c>
      <c r="L89" s="12">
        <v>1531050</v>
      </c>
      <c r="M89" s="8">
        <v>56443</v>
      </c>
      <c r="N89" s="8"/>
      <c r="O89" s="8"/>
      <c r="P89" s="8"/>
      <c r="Q89" s="8"/>
      <c r="R89" s="8"/>
      <c r="S89" s="8"/>
      <c r="T89" s="8"/>
      <c r="U89" s="8" t="s">
        <v>416</v>
      </c>
    </row>
    <row r="90" spans="1:21" x14ac:dyDescent="0.45">
      <c r="A90" s="13">
        <v>44861</v>
      </c>
      <c r="B90" s="18">
        <v>2022</v>
      </c>
      <c r="C90" s="21"/>
      <c r="D90" s="8"/>
      <c r="E90" s="8" t="s">
        <v>39</v>
      </c>
      <c r="F90" s="8" t="s">
        <v>26</v>
      </c>
      <c r="G90" s="8"/>
      <c r="H90" s="8"/>
      <c r="I90" s="8">
        <v>209</v>
      </c>
      <c r="J90" s="8"/>
      <c r="K90" s="8" t="s">
        <v>97</v>
      </c>
      <c r="L90" s="12">
        <v>1531037</v>
      </c>
      <c r="M90" s="8">
        <v>56430</v>
      </c>
      <c r="N90" s="8"/>
      <c r="O90" s="8"/>
      <c r="P90" s="8"/>
      <c r="Q90" s="8"/>
      <c r="R90" s="8"/>
      <c r="S90" s="8"/>
      <c r="T90" s="8"/>
      <c r="U90" s="8" t="s">
        <v>416</v>
      </c>
    </row>
    <row r="91" spans="1:21" x14ac:dyDescent="0.45">
      <c r="A91" s="13">
        <v>44861</v>
      </c>
      <c r="B91" s="18">
        <v>2022</v>
      </c>
      <c r="C91" s="21"/>
      <c r="D91" s="8"/>
      <c r="E91" s="8" t="s">
        <v>39</v>
      </c>
      <c r="F91" s="8" t="s">
        <v>26</v>
      </c>
      <c r="G91" s="8"/>
      <c r="H91" s="8"/>
      <c r="I91" s="8">
        <v>236</v>
      </c>
      <c r="J91" s="8"/>
      <c r="K91" s="8">
        <v>243</v>
      </c>
      <c r="L91" s="12">
        <v>1531038</v>
      </c>
      <c r="M91" s="8">
        <v>56431</v>
      </c>
      <c r="N91" s="8"/>
      <c r="O91" s="8"/>
      <c r="P91" s="8"/>
      <c r="Q91" s="8"/>
      <c r="R91" s="8"/>
      <c r="S91" s="8"/>
      <c r="T91" s="8"/>
      <c r="U91" s="8" t="s">
        <v>416</v>
      </c>
    </row>
    <row r="92" spans="1:21" x14ac:dyDescent="0.45">
      <c r="A92" s="13">
        <v>44862</v>
      </c>
      <c r="B92" s="18">
        <v>2022</v>
      </c>
      <c r="C92" s="21"/>
      <c r="D92" s="8"/>
      <c r="E92" s="8" t="s">
        <v>39</v>
      </c>
      <c r="F92" s="8" t="s">
        <v>26</v>
      </c>
      <c r="G92" s="8"/>
      <c r="H92" s="8"/>
      <c r="I92" s="8">
        <v>203</v>
      </c>
      <c r="J92" s="8"/>
      <c r="K92" s="8">
        <v>244</v>
      </c>
      <c r="L92" s="12">
        <v>1531039</v>
      </c>
      <c r="M92" s="8">
        <v>56432</v>
      </c>
      <c r="N92" s="8"/>
      <c r="O92" s="8"/>
      <c r="P92" s="8"/>
      <c r="Q92" s="8"/>
      <c r="R92" s="8"/>
      <c r="S92" s="8"/>
      <c r="T92" s="8"/>
      <c r="U92" s="8" t="s">
        <v>416</v>
      </c>
    </row>
    <row r="93" spans="1:21" x14ac:dyDescent="0.45">
      <c r="A93" s="13">
        <v>44862</v>
      </c>
      <c r="B93" s="18">
        <v>2022</v>
      </c>
      <c r="C93" s="21"/>
      <c r="D93" s="8"/>
      <c r="E93" s="8" t="s">
        <v>39</v>
      </c>
      <c r="F93" s="8" t="s">
        <v>26</v>
      </c>
      <c r="G93" s="8"/>
      <c r="H93" s="8"/>
      <c r="I93" s="8">
        <v>246</v>
      </c>
      <c r="J93" s="8"/>
      <c r="K93" s="8">
        <v>245</v>
      </c>
      <c r="L93" s="12">
        <v>1531040</v>
      </c>
      <c r="M93" s="8">
        <v>56433</v>
      </c>
      <c r="N93" s="8"/>
      <c r="O93" s="8"/>
      <c r="P93" s="8"/>
      <c r="Q93" s="8"/>
      <c r="R93" s="8"/>
      <c r="S93" s="8"/>
      <c r="T93" s="8"/>
      <c r="U93" s="8" t="s">
        <v>416</v>
      </c>
    </row>
    <row r="94" spans="1:21" x14ac:dyDescent="0.45">
      <c r="A94" s="13">
        <v>44862</v>
      </c>
      <c r="B94" s="18">
        <v>2022</v>
      </c>
      <c r="C94" s="21"/>
      <c r="D94" s="8"/>
      <c r="E94" s="8" t="s">
        <v>40</v>
      </c>
      <c r="F94" s="8" t="s">
        <v>26</v>
      </c>
      <c r="G94" s="8"/>
      <c r="H94" s="8"/>
      <c r="I94" s="8">
        <v>163</v>
      </c>
      <c r="J94" s="8"/>
      <c r="K94" s="8">
        <v>246</v>
      </c>
      <c r="L94" s="12">
        <v>1531041</v>
      </c>
      <c r="M94" s="8">
        <v>56434</v>
      </c>
      <c r="N94" s="8"/>
      <c r="O94" s="8"/>
      <c r="P94" s="8"/>
      <c r="Q94" s="8"/>
      <c r="R94" s="8"/>
      <c r="S94" s="8"/>
      <c r="T94" s="8"/>
      <c r="U94" s="8" t="s">
        <v>416</v>
      </c>
    </row>
    <row r="95" spans="1:21" x14ac:dyDescent="0.45">
      <c r="A95" s="13">
        <v>44862</v>
      </c>
      <c r="B95" s="18">
        <v>2022</v>
      </c>
      <c r="C95" s="21"/>
      <c r="D95" s="8"/>
      <c r="E95" s="8" t="s">
        <v>40</v>
      </c>
      <c r="F95" s="8" t="s">
        <v>97</v>
      </c>
      <c r="G95" s="8"/>
      <c r="H95" s="8"/>
      <c r="I95" s="8">
        <v>169</v>
      </c>
      <c r="J95" s="8"/>
      <c r="K95" s="8">
        <v>247</v>
      </c>
      <c r="L95" s="12">
        <v>1531042</v>
      </c>
      <c r="M95" s="8">
        <v>56435</v>
      </c>
      <c r="N95" s="8"/>
      <c r="O95" s="8"/>
      <c r="P95" s="8"/>
      <c r="Q95" s="8"/>
      <c r="R95" s="8"/>
      <c r="S95" s="8"/>
      <c r="T95" s="8"/>
      <c r="U95" s="8" t="s">
        <v>416</v>
      </c>
    </row>
    <row r="96" spans="1:21" x14ac:dyDescent="0.45">
      <c r="A96" s="13">
        <v>44872</v>
      </c>
      <c r="B96" s="18">
        <v>2022</v>
      </c>
      <c r="C96" s="21"/>
      <c r="D96" s="8"/>
      <c r="E96" s="8" t="s">
        <v>40</v>
      </c>
      <c r="F96" s="8" t="s">
        <v>20</v>
      </c>
      <c r="G96" s="8"/>
      <c r="H96" s="8"/>
      <c r="I96" s="8">
        <v>163</v>
      </c>
      <c r="J96" s="8"/>
      <c r="K96" s="8">
        <v>248</v>
      </c>
      <c r="L96" s="12">
        <v>1531043</v>
      </c>
      <c r="M96" s="8">
        <v>56436</v>
      </c>
      <c r="N96" s="8"/>
      <c r="O96" s="8"/>
      <c r="P96" s="8"/>
      <c r="Q96" s="8"/>
      <c r="R96" s="8"/>
      <c r="S96" s="8"/>
      <c r="T96" s="8"/>
      <c r="U96" s="8" t="s">
        <v>416</v>
      </c>
    </row>
    <row r="97" spans="1:21" x14ac:dyDescent="0.45">
      <c r="A97" s="13">
        <v>44872</v>
      </c>
      <c r="B97" s="18">
        <v>2022</v>
      </c>
      <c r="C97" s="21"/>
      <c r="D97" s="8"/>
      <c r="E97" s="8" t="s">
        <v>40</v>
      </c>
      <c r="F97" s="8" t="s">
        <v>26</v>
      </c>
      <c r="G97" s="8"/>
      <c r="H97" s="8"/>
      <c r="I97" s="8">
        <v>142</v>
      </c>
      <c r="J97" s="8"/>
      <c r="K97" s="8">
        <v>249</v>
      </c>
      <c r="L97" s="12">
        <v>1531044</v>
      </c>
      <c r="M97" s="8">
        <v>56437</v>
      </c>
      <c r="N97" s="8"/>
      <c r="O97" s="8"/>
      <c r="P97" s="8"/>
      <c r="Q97" s="8"/>
      <c r="R97" s="8"/>
      <c r="S97" s="8"/>
      <c r="T97" s="8"/>
      <c r="U97" s="8" t="s">
        <v>416</v>
      </c>
    </row>
    <row r="98" spans="1:21" x14ac:dyDescent="0.45">
      <c r="A98" s="13">
        <v>44908</v>
      </c>
      <c r="B98" s="18">
        <v>2022</v>
      </c>
      <c r="C98" s="21"/>
      <c r="D98" s="8"/>
      <c r="E98" s="8" t="s">
        <v>39</v>
      </c>
      <c r="F98" s="8" t="s">
        <v>20</v>
      </c>
      <c r="G98" s="8"/>
      <c r="H98" s="8"/>
      <c r="I98" s="8">
        <v>255</v>
      </c>
      <c r="J98" s="8"/>
      <c r="K98" s="8">
        <v>250</v>
      </c>
      <c r="L98" s="12">
        <v>1531045</v>
      </c>
      <c r="M98" s="8">
        <v>56438</v>
      </c>
      <c r="N98" s="8"/>
      <c r="O98" s="8"/>
      <c r="P98" s="8"/>
      <c r="Q98" s="8"/>
      <c r="R98" s="8"/>
      <c r="S98" s="8"/>
      <c r="T98" s="8"/>
      <c r="U98" s="8" t="s">
        <v>416</v>
      </c>
    </row>
    <row r="99" spans="1:21" x14ac:dyDescent="0.45">
      <c r="A99" s="13">
        <v>44908</v>
      </c>
      <c r="B99" s="18">
        <v>2022</v>
      </c>
      <c r="C99" s="21"/>
      <c r="D99" s="8"/>
      <c r="E99" s="8" t="s">
        <v>39</v>
      </c>
      <c r="F99" s="8" t="s">
        <v>26</v>
      </c>
      <c r="G99" s="8"/>
      <c r="H99" s="8"/>
      <c r="I99" s="8">
        <v>278</v>
      </c>
      <c r="J99" s="8"/>
      <c r="K99" s="8">
        <v>251</v>
      </c>
      <c r="L99" s="12">
        <v>1531046</v>
      </c>
      <c r="M99" s="8">
        <v>56439</v>
      </c>
      <c r="N99" s="8"/>
      <c r="O99" s="8"/>
      <c r="P99" s="8"/>
      <c r="Q99" s="8"/>
      <c r="R99" s="8"/>
      <c r="S99" s="8"/>
      <c r="T99" s="8"/>
      <c r="U99" s="8" t="s">
        <v>416</v>
      </c>
    </row>
    <row r="100" spans="1:21" x14ac:dyDescent="0.45">
      <c r="A100" s="13">
        <v>44930</v>
      </c>
      <c r="B100" s="18">
        <v>2023</v>
      </c>
      <c r="C100" s="21"/>
      <c r="D100" s="8"/>
      <c r="E100" s="8" t="s">
        <v>39</v>
      </c>
      <c r="F100" s="8" t="s">
        <v>20</v>
      </c>
      <c r="G100" s="8"/>
      <c r="H100" s="8"/>
      <c r="I100" s="8">
        <v>195</v>
      </c>
      <c r="J100" s="8"/>
      <c r="K100" s="8">
        <v>252</v>
      </c>
      <c r="L100" s="12">
        <v>1531047</v>
      </c>
      <c r="M100" s="8">
        <v>56440</v>
      </c>
      <c r="N100" s="8"/>
      <c r="O100" s="8"/>
      <c r="P100" s="8"/>
      <c r="Q100" s="8"/>
      <c r="R100" s="8"/>
      <c r="S100" s="8"/>
      <c r="T100" s="8"/>
      <c r="U100" s="8" t="s">
        <v>416</v>
      </c>
    </row>
    <row r="101" spans="1:21" x14ac:dyDescent="0.45">
      <c r="A101" s="13">
        <v>44930</v>
      </c>
      <c r="B101" s="18">
        <v>2023</v>
      </c>
      <c r="C101" s="21"/>
      <c r="D101" s="8"/>
      <c r="E101" s="8" t="s">
        <v>39</v>
      </c>
      <c r="F101" s="8" t="s">
        <v>26</v>
      </c>
      <c r="G101" s="8"/>
      <c r="H101" s="8"/>
      <c r="I101" s="8">
        <v>176</v>
      </c>
      <c r="J101" s="8"/>
      <c r="K101" s="8">
        <v>253</v>
      </c>
      <c r="L101" s="12">
        <v>1531048</v>
      </c>
      <c r="M101" s="8">
        <v>56441</v>
      </c>
      <c r="N101" s="8"/>
      <c r="O101" s="8"/>
      <c r="P101" s="8"/>
      <c r="Q101" s="8"/>
      <c r="R101" s="8"/>
      <c r="S101" s="8"/>
      <c r="T101" s="8"/>
      <c r="U101" s="8" t="s">
        <v>416</v>
      </c>
    </row>
    <row r="102" spans="1:21" x14ac:dyDescent="0.45">
      <c r="A102" s="13">
        <v>44932</v>
      </c>
      <c r="B102" s="18">
        <v>2023</v>
      </c>
      <c r="C102" s="21"/>
      <c r="D102" s="8"/>
      <c r="E102" s="8" t="s">
        <v>39</v>
      </c>
      <c r="F102" s="8" t="s">
        <v>20</v>
      </c>
      <c r="G102" s="8"/>
      <c r="H102" s="8"/>
      <c r="I102" s="8">
        <v>256</v>
      </c>
      <c r="J102" s="8"/>
      <c r="K102" s="8">
        <v>254</v>
      </c>
      <c r="L102" s="12">
        <v>1531051</v>
      </c>
      <c r="M102" s="8">
        <v>56444</v>
      </c>
      <c r="N102" s="8"/>
      <c r="O102" s="8"/>
      <c r="P102" s="8"/>
      <c r="Q102" s="8"/>
      <c r="R102" s="8"/>
      <c r="S102" s="8"/>
      <c r="T102" s="8"/>
      <c r="U102" s="8" t="s">
        <v>416</v>
      </c>
    </row>
    <row r="103" spans="1:21" x14ac:dyDescent="0.45">
      <c r="A103" s="13">
        <v>44932</v>
      </c>
      <c r="B103" s="18">
        <v>2023</v>
      </c>
      <c r="C103" s="21"/>
      <c r="D103" s="8"/>
      <c r="E103" s="8" t="s">
        <v>39</v>
      </c>
      <c r="F103" s="8" t="s">
        <v>20</v>
      </c>
      <c r="G103" s="8"/>
      <c r="H103" s="8"/>
      <c r="I103" s="8">
        <v>183</v>
      </c>
      <c r="J103" s="8"/>
      <c r="K103" s="8">
        <v>256</v>
      </c>
      <c r="L103" s="12">
        <v>1531053</v>
      </c>
      <c r="M103" s="8">
        <v>56446</v>
      </c>
      <c r="N103" s="8"/>
      <c r="O103" s="8"/>
      <c r="P103" s="8"/>
      <c r="Q103" s="8"/>
      <c r="R103" s="8"/>
      <c r="S103" s="8"/>
      <c r="T103" s="8"/>
      <c r="U103" s="8" t="s">
        <v>416</v>
      </c>
    </row>
    <row r="104" spans="1:21" x14ac:dyDescent="0.45">
      <c r="A104" s="13">
        <v>44932</v>
      </c>
      <c r="B104" s="18">
        <v>2023</v>
      </c>
      <c r="C104" s="21"/>
      <c r="D104" s="8"/>
      <c r="E104" s="8" t="s">
        <v>40</v>
      </c>
      <c r="F104" s="8" t="s">
        <v>20</v>
      </c>
      <c r="G104" s="8"/>
      <c r="H104" s="8"/>
      <c r="I104" s="8">
        <v>211</v>
      </c>
      <c r="J104" s="8"/>
      <c r="K104" s="8">
        <v>257</v>
      </c>
      <c r="L104" s="12">
        <v>1531052</v>
      </c>
      <c r="M104" s="8">
        <v>56445</v>
      </c>
      <c r="N104" s="8"/>
      <c r="O104" s="8"/>
      <c r="P104" s="8"/>
      <c r="Q104" s="8"/>
      <c r="R104" s="8"/>
      <c r="S104" s="8"/>
      <c r="T104" s="8"/>
      <c r="U104" s="8" t="s">
        <v>416</v>
      </c>
    </row>
    <row r="105" spans="1:21" x14ac:dyDescent="0.45">
      <c r="A105" s="13">
        <v>44937</v>
      </c>
      <c r="B105" s="18">
        <v>2023</v>
      </c>
      <c r="C105" s="21"/>
      <c r="D105" s="8"/>
      <c r="E105" s="8" t="s">
        <v>39</v>
      </c>
      <c r="F105" s="8" t="s">
        <v>20</v>
      </c>
      <c r="G105" s="8"/>
      <c r="H105" s="8"/>
      <c r="I105" s="8">
        <v>186</v>
      </c>
      <c r="J105" s="8"/>
      <c r="K105" s="8">
        <v>258</v>
      </c>
      <c r="L105" s="12">
        <v>1531054</v>
      </c>
      <c r="M105" s="8">
        <v>56447</v>
      </c>
      <c r="N105" s="8"/>
      <c r="O105" s="8"/>
      <c r="P105" s="8"/>
      <c r="Q105" s="8"/>
      <c r="R105" s="8"/>
      <c r="S105" s="8"/>
      <c r="T105" s="8"/>
      <c r="U105" s="8" t="s">
        <v>416</v>
      </c>
    </row>
    <row r="106" spans="1:21" x14ac:dyDescent="0.45">
      <c r="A106" s="13">
        <v>44937</v>
      </c>
      <c r="B106" s="18">
        <v>2023</v>
      </c>
      <c r="C106" s="21"/>
      <c r="D106" s="8"/>
      <c r="E106" s="8" t="s">
        <v>39</v>
      </c>
      <c r="F106" s="8" t="s">
        <v>20</v>
      </c>
      <c r="G106" s="8"/>
      <c r="H106" s="8"/>
      <c r="I106" s="8">
        <v>181</v>
      </c>
      <c r="J106" s="8"/>
      <c r="K106" s="8">
        <v>259</v>
      </c>
      <c r="L106" s="12">
        <v>1531055</v>
      </c>
      <c r="M106" s="8">
        <v>56448</v>
      </c>
      <c r="N106" s="8"/>
      <c r="O106" s="8"/>
      <c r="P106" s="8"/>
      <c r="Q106" s="8"/>
      <c r="R106" s="8"/>
      <c r="S106" s="8"/>
      <c r="T106" s="8"/>
      <c r="U106" s="8" t="s">
        <v>416</v>
      </c>
    </row>
    <row r="107" spans="1:21" x14ac:dyDescent="0.45">
      <c r="A107" s="13">
        <v>44937</v>
      </c>
      <c r="B107" s="18">
        <v>2023</v>
      </c>
      <c r="C107" s="21"/>
      <c r="D107" s="8"/>
      <c r="E107" s="8" t="s">
        <v>40</v>
      </c>
      <c r="F107" s="8" t="s">
        <v>20</v>
      </c>
      <c r="G107" s="8"/>
      <c r="H107" s="8"/>
      <c r="I107" s="8">
        <v>152</v>
      </c>
      <c r="J107" s="8"/>
      <c r="K107" s="8">
        <v>260</v>
      </c>
      <c r="L107" s="12">
        <v>1531056</v>
      </c>
      <c r="M107" s="8">
        <v>56449</v>
      </c>
      <c r="N107" s="8"/>
      <c r="O107" s="8"/>
      <c r="P107" s="8"/>
      <c r="Q107" s="8"/>
      <c r="R107" s="8"/>
      <c r="S107" s="8"/>
      <c r="T107" s="8"/>
      <c r="U107" s="8" t="s">
        <v>416</v>
      </c>
    </row>
    <row r="108" spans="1:21" x14ac:dyDescent="0.45">
      <c r="A108" s="13">
        <v>44946</v>
      </c>
      <c r="B108" s="18">
        <v>2023</v>
      </c>
      <c r="C108" s="21"/>
      <c r="D108" s="8"/>
      <c r="E108" s="8" t="s">
        <v>40</v>
      </c>
      <c r="F108" s="8" t="s">
        <v>20</v>
      </c>
      <c r="G108" s="8"/>
      <c r="H108" s="8"/>
      <c r="I108" s="8">
        <v>153</v>
      </c>
      <c r="J108" s="8"/>
      <c r="K108" s="8">
        <v>261</v>
      </c>
      <c r="L108" s="12">
        <v>1531057</v>
      </c>
      <c r="M108" s="8">
        <v>56450</v>
      </c>
      <c r="N108" s="8"/>
      <c r="O108" s="8"/>
      <c r="P108" s="8"/>
      <c r="Q108" s="8"/>
      <c r="R108" s="8"/>
      <c r="S108" s="8"/>
      <c r="T108" s="8"/>
      <c r="U108" s="8" t="s">
        <v>416</v>
      </c>
    </row>
    <row r="109" spans="1:21" x14ac:dyDescent="0.45">
      <c r="A109" s="13">
        <v>44951</v>
      </c>
      <c r="B109" s="18">
        <v>2023</v>
      </c>
      <c r="C109" s="21"/>
      <c r="D109" s="8"/>
      <c r="E109" s="8" t="s">
        <v>39</v>
      </c>
      <c r="F109" s="8" t="s">
        <v>20</v>
      </c>
      <c r="G109" s="8"/>
      <c r="H109" s="8"/>
      <c r="I109" s="8">
        <v>238</v>
      </c>
      <c r="J109" s="8"/>
      <c r="K109" s="8">
        <v>262</v>
      </c>
      <c r="L109" s="12">
        <v>1531058</v>
      </c>
      <c r="M109" s="8">
        <v>56451</v>
      </c>
      <c r="N109" s="8"/>
      <c r="O109" s="8"/>
      <c r="P109" s="8"/>
      <c r="Q109" s="8"/>
      <c r="R109" s="8"/>
      <c r="S109" s="8"/>
      <c r="T109" s="8"/>
      <c r="U109" s="8" t="s">
        <v>416</v>
      </c>
    </row>
    <row r="110" spans="1:21" x14ac:dyDescent="0.45">
      <c r="A110" s="13">
        <v>44975</v>
      </c>
      <c r="B110" s="18">
        <v>2023</v>
      </c>
      <c r="C110" s="21"/>
      <c r="D110" s="8"/>
      <c r="E110" s="8" t="s">
        <v>39</v>
      </c>
      <c r="F110" s="8" t="s">
        <v>26</v>
      </c>
      <c r="G110" s="8"/>
      <c r="H110" s="8"/>
      <c r="I110" s="8">
        <v>254</v>
      </c>
      <c r="J110" s="8"/>
      <c r="K110" s="8">
        <v>263</v>
      </c>
      <c r="L110" s="12">
        <v>1531059</v>
      </c>
      <c r="M110" s="8">
        <v>56452</v>
      </c>
      <c r="N110" s="8"/>
      <c r="O110" s="8"/>
      <c r="P110" s="8"/>
      <c r="Q110" s="8"/>
      <c r="R110" s="8"/>
      <c r="S110" s="8"/>
      <c r="T110" s="8"/>
      <c r="U110" s="8" t="s">
        <v>416</v>
      </c>
    </row>
    <row r="111" spans="1:21" x14ac:dyDescent="0.45">
      <c r="A111" s="13">
        <v>44975</v>
      </c>
      <c r="B111" s="18">
        <v>2023</v>
      </c>
      <c r="C111" s="21"/>
      <c r="D111" s="8"/>
      <c r="E111" s="8" t="s">
        <v>40</v>
      </c>
      <c r="F111" s="8" t="s">
        <v>20</v>
      </c>
      <c r="G111" s="8"/>
      <c r="H111" s="8"/>
      <c r="I111" s="8">
        <v>153</v>
      </c>
      <c r="J111" s="8"/>
      <c r="K111" s="8">
        <v>264</v>
      </c>
      <c r="L111" s="12">
        <v>1531060</v>
      </c>
      <c r="M111" s="8">
        <v>56453</v>
      </c>
      <c r="N111" s="8"/>
      <c r="O111" s="8"/>
      <c r="P111" s="8"/>
      <c r="Q111" s="8"/>
      <c r="R111" s="8"/>
      <c r="S111" s="8"/>
      <c r="T111" s="8"/>
      <c r="U111" s="8" t="s">
        <v>416</v>
      </c>
    </row>
    <row r="112" spans="1:21" x14ac:dyDescent="0.45">
      <c r="A112" s="5">
        <v>44988</v>
      </c>
      <c r="B112" s="18">
        <v>2023</v>
      </c>
      <c r="C112" s="4" t="s">
        <v>175</v>
      </c>
      <c r="D112" s="8" t="s">
        <v>422</v>
      </c>
      <c r="E112" s="8" t="s">
        <v>39</v>
      </c>
      <c r="F112" s="8" t="s">
        <v>20</v>
      </c>
      <c r="G112" s="8">
        <v>137</v>
      </c>
      <c r="H112" s="8">
        <v>155</v>
      </c>
      <c r="I112" s="8">
        <v>190</v>
      </c>
      <c r="J112" s="8"/>
      <c r="K112" s="8">
        <v>190</v>
      </c>
      <c r="L112" s="8" t="s">
        <v>97</v>
      </c>
      <c r="M112" s="8" t="s">
        <v>97</v>
      </c>
      <c r="N112" s="16" t="s">
        <v>439</v>
      </c>
      <c r="O112" s="10">
        <v>0.62847222222222221</v>
      </c>
      <c r="P112" s="10">
        <v>0.64374999999999993</v>
      </c>
      <c r="Q112" s="10"/>
      <c r="R112" s="10">
        <v>0.65277777777777779</v>
      </c>
      <c r="S112" s="8"/>
      <c r="T112" s="8"/>
      <c r="U112" s="4" t="s">
        <v>441</v>
      </c>
    </row>
    <row r="113" spans="1:21" x14ac:dyDescent="0.45">
      <c r="A113" s="5">
        <v>44988</v>
      </c>
      <c r="B113" s="18">
        <v>2023</v>
      </c>
      <c r="C113" s="4" t="s">
        <v>175</v>
      </c>
      <c r="D113" s="8" t="s">
        <v>423</v>
      </c>
      <c r="E113" s="8" t="s">
        <v>39</v>
      </c>
      <c r="F113" s="8" t="s">
        <v>26</v>
      </c>
      <c r="G113" s="8">
        <v>74</v>
      </c>
      <c r="H113" s="8">
        <v>83</v>
      </c>
      <c r="I113" s="8">
        <v>99</v>
      </c>
      <c r="J113" s="8"/>
      <c r="K113" s="8"/>
      <c r="L113" s="8" t="s">
        <v>97</v>
      </c>
      <c r="M113" s="8" t="s">
        <v>97</v>
      </c>
      <c r="N113" s="8" t="s">
        <v>97</v>
      </c>
      <c r="O113" s="8" t="s">
        <v>97</v>
      </c>
      <c r="P113" s="8" t="s">
        <v>97</v>
      </c>
      <c r="Q113" s="8"/>
      <c r="R113" s="8" t="s">
        <v>97</v>
      </c>
      <c r="S113" s="8"/>
      <c r="T113" s="8"/>
      <c r="U113" s="4" t="s">
        <v>440</v>
      </c>
    </row>
    <row r="114" spans="1:21" x14ac:dyDescent="0.45">
      <c r="A114" s="13">
        <v>44984</v>
      </c>
      <c r="B114" s="18">
        <v>2023</v>
      </c>
      <c r="C114" s="8" t="s">
        <v>442</v>
      </c>
      <c r="D114" s="8" t="s">
        <v>443</v>
      </c>
      <c r="E114" s="8" t="s">
        <v>444</v>
      </c>
      <c r="F114" s="8" t="s">
        <v>20</v>
      </c>
      <c r="G114" s="8">
        <v>100</v>
      </c>
      <c r="H114" s="8">
        <v>112</v>
      </c>
      <c r="I114" s="8">
        <v>133</v>
      </c>
      <c r="J114" s="8"/>
      <c r="K114" s="8">
        <v>175</v>
      </c>
      <c r="L114" s="8">
        <v>1553253</v>
      </c>
      <c r="M114" s="8">
        <v>53896</v>
      </c>
      <c r="N114" s="8" t="s">
        <v>445</v>
      </c>
      <c r="O114" s="10">
        <v>0.45833333333333331</v>
      </c>
      <c r="P114" s="10">
        <v>0.46875</v>
      </c>
      <c r="Q114" s="8"/>
      <c r="R114" s="10">
        <v>0.47569444444444442</v>
      </c>
      <c r="S114" s="8"/>
      <c r="T114" s="8">
        <v>5</v>
      </c>
      <c r="U114" s="4"/>
    </row>
    <row r="115" spans="1:21" x14ac:dyDescent="0.45">
      <c r="A115" s="13">
        <v>44985</v>
      </c>
      <c r="B115" s="18">
        <v>2023</v>
      </c>
      <c r="C115" s="8" t="s">
        <v>442</v>
      </c>
      <c r="D115" s="8" t="s">
        <v>446</v>
      </c>
      <c r="E115" s="8" t="s">
        <v>444</v>
      </c>
      <c r="F115" s="8" t="s">
        <v>26</v>
      </c>
      <c r="G115" s="8">
        <v>99</v>
      </c>
      <c r="H115" s="8">
        <v>109</v>
      </c>
      <c r="I115" s="8">
        <v>133</v>
      </c>
      <c r="J115" s="8"/>
      <c r="K115" s="8">
        <v>176</v>
      </c>
      <c r="L115" s="8">
        <v>1553254</v>
      </c>
      <c r="M115" s="8">
        <v>53897</v>
      </c>
      <c r="N115" s="8" t="s">
        <v>447</v>
      </c>
      <c r="O115" s="10">
        <v>0.56111111111111112</v>
      </c>
      <c r="P115" s="8" t="s">
        <v>97</v>
      </c>
      <c r="Q115" s="8"/>
      <c r="R115" s="8" t="s">
        <v>97</v>
      </c>
      <c r="S115" s="8"/>
      <c r="T115" s="8">
        <v>5</v>
      </c>
      <c r="U115" s="4"/>
    </row>
    <row r="116" spans="1:21" x14ac:dyDescent="0.45">
      <c r="A116" s="13">
        <v>44985</v>
      </c>
      <c r="B116" s="18">
        <v>2023</v>
      </c>
      <c r="C116" s="8" t="s">
        <v>442</v>
      </c>
      <c r="D116" s="8" t="s">
        <v>448</v>
      </c>
      <c r="E116" s="8" t="s">
        <v>444</v>
      </c>
      <c r="F116" s="8" t="s">
        <v>26</v>
      </c>
      <c r="G116" s="8">
        <v>98</v>
      </c>
      <c r="H116" s="8">
        <v>107</v>
      </c>
      <c r="I116" s="8">
        <v>131</v>
      </c>
      <c r="J116" s="8"/>
      <c r="K116" s="8">
        <v>177</v>
      </c>
      <c r="L116" s="8">
        <v>1553255</v>
      </c>
      <c r="M116" s="8">
        <v>53898</v>
      </c>
      <c r="N116" s="8" t="s">
        <v>449</v>
      </c>
      <c r="O116" s="8" t="s">
        <v>97</v>
      </c>
      <c r="P116" s="8" t="s">
        <v>97</v>
      </c>
      <c r="Q116" s="8"/>
      <c r="R116" s="10">
        <v>0.57291666666666663</v>
      </c>
      <c r="S116" s="8"/>
      <c r="T116" s="8">
        <v>5</v>
      </c>
      <c r="U116" s="4" t="s">
        <v>450</v>
      </c>
    </row>
    <row r="117" spans="1:21" x14ac:dyDescent="0.45">
      <c r="A117" s="13">
        <v>44985</v>
      </c>
      <c r="B117" s="18">
        <v>2023</v>
      </c>
      <c r="C117" s="8" t="s">
        <v>442</v>
      </c>
      <c r="D117" s="8" t="s">
        <v>451</v>
      </c>
      <c r="E117" s="8" t="s">
        <v>444</v>
      </c>
      <c r="F117" s="8" t="s">
        <v>26</v>
      </c>
      <c r="G117" s="8">
        <v>96</v>
      </c>
      <c r="H117" s="8">
        <v>106</v>
      </c>
      <c r="I117" s="8">
        <v>126</v>
      </c>
      <c r="J117" s="8"/>
      <c r="K117" s="8">
        <v>178</v>
      </c>
      <c r="L117" s="8">
        <v>1553256</v>
      </c>
      <c r="M117" s="8">
        <v>53899</v>
      </c>
      <c r="N117" s="8" t="s">
        <v>452</v>
      </c>
      <c r="O117" s="8" t="s">
        <v>97</v>
      </c>
      <c r="P117" s="10">
        <v>0.57361111111111118</v>
      </c>
      <c r="Q117" s="8"/>
      <c r="R117" s="10">
        <v>0.57916666666666672</v>
      </c>
      <c r="S117" s="8"/>
      <c r="T117" s="16" t="s">
        <v>453</v>
      </c>
      <c r="U117" s="4"/>
    </row>
    <row r="118" spans="1:21" x14ac:dyDescent="0.45">
      <c r="A118" s="13">
        <v>44985</v>
      </c>
      <c r="B118" s="18">
        <v>2023</v>
      </c>
      <c r="C118" s="8" t="s">
        <v>442</v>
      </c>
      <c r="D118" s="8" t="s">
        <v>454</v>
      </c>
      <c r="E118" s="8" t="s">
        <v>444</v>
      </c>
      <c r="F118" s="8" t="s">
        <v>26</v>
      </c>
      <c r="G118" s="8">
        <v>98</v>
      </c>
      <c r="H118" s="8">
        <v>107</v>
      </c>
      <c r="I118" s="8">
        <v>129</v>
      </c>
      <c r="J118" s="8"/>
      <c r="K118" s="8">
        <v>179</v>
      </c>
      <c r="L118" s="8">
        <v>1553257</v>
      </c>
      <c r="M118" s="8">
        <v>53900</v>
      </c>
      <c r="N118" s="8" t="s">
        <v>455</v>
      </c>
      <c r="O118" s="10">
        <v>0.60763888888888895</v>
      </c>
      <c r="P118" s="10">
        <v>0.61111111111111105</v>
      </c>
      <c r="Q118" s="8"/>
      <c r="R118" s="10">
        <v>0.61805555555555558</v>
      </c>
      <c r="S118" s="8"/>
      <c r="T118" s="8"/>
      <c r="U118" s="4"/>
    </row>
    <row r="119" spans="1:21" x14ac:dyDescent="0.45">
      <c r="A119" s="13">
        <v>44985</v>
      </c>
      <c r="B119" s="18">
        <v>2023</v>
      </c>
      <c r="C119" s="8" t="s">
        <v>442</v>
      </c>
      <c r="D119" s="8" t="s">
        <v>456</v>
      </c>
      <c r="E119" s="8" t="s">
        <v>444</v>
      </c>
      <c r="F119" s="8" t="s">
        <v>20</v>
      </c>
      <c r="G119" s="8">
        <v>102</v>
      </c>
      <c r="H119" s="8">
        <v>112</v>
      </c>
      <c r="I119" s="8">
        <v>138</v>
      </c>
      <c r="J119" s="8"/>
      <c r="K119" s="8">
        <v>180</v>
      </c>
      <c r="L119" s="8">
        <v>1553258</v>
      </c>
      <c r="M119" s="8">
        <v>53901</v>
      </c>
      <c r="N119" s="8" t="s">
        <v>457</v>
      </c>
      <c r="O119" s="10">
        <v>0.62569444444444444</v>
      </c>
      <c r="P119" s="10">
        <v>0.62777777777777777</v>
      </c>
      <c r="Q119" s="8"/>
      <c r="R119" s="10">
        <v>0.6381944444444444</v>
      </c>
      <c r="S119" s="8"/>
      <c r="T119" s="8">
        <v>4</v>
      </c>
      <c r="U119" s="4" t="s">
        <v>472</v>
      </c>
    </row>
    <row r="120" spans="1:21" x14ac:dyDescent="0.45">
      <c r="A120" s="13">
        <v>44985</v>
      </c>
      <c r="B120" s="18">
        <v>2023</v>
      </c>
      <c r="C120" s="8" t="s">
        <v>442</v>
      </c>
      <c r="D120" s="8" t="s">
        <v>458</v>
      </c>
      <c r="E120" s="8" t="s">
        <v>444</v>
      </c>
      <c r="F120" s="8" t="s">
        <v>26</v>
      </c>
      <c r="G120" s="8">
        <v>95</v>
      </c>
      <c r="H120" s="8">
        <v>103</v>
      </c>
      <c r="I120" s="8">
        <v>128</v>
      </c>
      <c r="J120" s="8"/>
      <c r="K120" s="8">
        <v>181</v>
      </c>
      <c r="L120" s="8">
        <v>1553259</v>
      </c>
      <c r="M120" s="8">
        <v>53902</v>
      </c>
      <c r="N120" s="8" t="s">
        <v>459</v>
      </c>
      <c r="O120" s="10">
        <v>0.65</v>
      </c>
      <c r="P120" s="10">
        <v>0.65277777777777779</v>
      </c>
      <c r="Q120" s="8"/>
      <c r="R120" s="10">
        <v>0.66041666666666665</v>
      </c>
      <c r="S120" s="8"/>
      <c r="T120" s="8">
        <v>5</v>
      </c>
      <c r="U120" s="4"/>
    </row>
    <row r="121" spans="1:21" x14ac:dyDescent="0.45">
      <c r="A121" s="13">
        <v>44985</v>
      </c>
      <c r="B121" s="18">
        <v>2023</v>
      </c>
      <c r="C121" s="8" t="s">
        <v>442</v>
      </c>
      <c r="D121" s="8" t="s">
        <v>460</v>
      </c>
      <c r="E121" s="8" t="s">
        <v>444</v>
      </c>
      <c r="F121" s="8" t="s">
        <v>20</v>
      </c>
      <c r="G121" s="8">
        <v>108</v>
      </c>
      <c r="H121" s="8">
        <v>119</v>
      </c>
      <c r="I121" s="8">
        <v>144</v>
      </c>
      <c r="J121" s="8"/>
      <c r="K121" s="8">
        <v>182</v>
      </c>
      <c r="L121" s="8">
        <v>1553260</v>
      </c>
      <c r="M121" s="8">
        <v>53903</v>
      </c>
      <c r="N121" s="8" t="s">
        <v>461</v>
      </c>
      <c r="O121" s="10">
        <v>0.65972222222222221</v>
      </c>
      <c r="P121" s="10">
        <v>0.66319444444444442</v>
      </c>
      <c r="Q121" s="8"/>
      <c r="R121" s="10">
        <v>0.6694444444444444</v>
      </c>
      <c r="S121" s="8"/>
      <c r="T121" s="16" t="s">
        <v>462</v>
      </c>
      <c r="U121" s="4"/>
    </row>
    <row r="122" spans="1:21" x14ac:dyDescent="0.45">
      <c r="A122" s="13">
        <v>44985</v>
      </c>
      <c r="B122" s="18">
        <v>2023</v>
      </c>
      <c r="C122" s="8" t="s">
        <v>442</v>
      </c>
      <c r="D122" s="8" t="s">
        <v>463</v>
      </c>
      <c r="E122" s="8" t="s">
        <v>444</v>
      </c>
      <c r="F122" s="8" t="s">
        <v>26</v>
      </c>
      <c r="G122" s="8">
        <v>92</v>
      </c>
      <c r="H122" s="8">
        <v>102</v>
      </c>
      <c r="I122" s="8">
        <v>124</v>
      </c>
      <c r="J122" s="8"/>
      <c r="K122" s="8">
        <v>183</v>
      </c>
      <c r="L122" s="8">
        <v>1553261</v>
      </c>
      <c r="M122" s="8">
        <v>53904</v>
      </c>
      <c r="N122" s="8" t="s">
        <v>464</v>
      </c>
      <c r="O122" s="8" t="s">
        <v>97</v>
      </c>
      <c r="P122" s="10">
        <v>0.67361111111111116</v>
      </c>
      <c r="Q122" s="8"/>
      <c r="R122" s="10">
        <v>0.67986111111111114</v>
      </c>
      <c r="S122" s="8"/>
      <c r="T122" s="8">
        <v>5</v>
      </c>
      <c r="U122" s="4" t="s">
        <v>473</v>
      </c>
    </row>
    <row r="123" spans="1:21" x14ac:dyDescent="0.45">
      <c r="A123" s="13">
        <v>44986</v>
      </c>
      <c r="B123" s="18">
        <v>2023</v>
      </c>
      <c r="C123" s="8" t="s">
        <v>442</v>
      </c>
      <c r="D123" s="8" t="s">
        <v>465</v>
      </c>
      <c r="E123" s="8" t="s">
        <v>444</v>
      </c>
      <c r="F123" s="8" t="s">
        <v>26</v>
      </c>
      <c r="G123" s="8">
        <v>109</v>
      </c>
      <c r="H123" s="8"/>
      <c r="I123" s="8">
        <v>149</v>
      </c>
      <c r="J123" s="8"/>
      <c r="K123" s="16">
        <v>184</v>
      </c>
      <c r="L123" s="8">
        <v>1553262</v>
      </c>
      <c r="M123" s="8">
        <v>53905</v>
      </c>
      <c r="N123" s="8" t="s">
        <v>466</v>
      </c>
      <c r="O123" s="10">
        <v>0.42222222222222222</v>
      </c>
      <c r="P123" s="10">
        <v>0.42569444444444443</v>
      </c>
      <c r="Q123" s="8"/>
      <c r="R123" s="10">
        <v>0.43541666666666662</v>
      </c>
      <c r="S123" s="8"/>
      <c r="T123" s="8">
        <v>5</v>
      </c>
      <c r="U123" s="4"/>
    </row>
    <row r="124" spans="1:21" x14ac:dyDescent="0.45">
      <c r="A124" s="13">
        <v>44986</v>
      </c>
      <c r="B124" s="18">
        <v>2023</v>
      </c>
      <c r="C124" s="8" t="s">
        <v>442</v>
      </c>
      <c r="D124" s="8" t="s">
        <v>467</v>
      </c>
      <c r="E124" s="8" t="s">
        <v>444</v>
      </c>
      <c r="F124" s="8" t="s">
        <v>26</v>
      </c>
      <c r="G124" s="8">
        <v>90</v>
      </c>
      <c r="H124" s="8">
        <v>110</v>
      </c>
      <c r="I124" s="8">
        <v>123</v>
      </c>
      <c r="J124" s="8"/>
      <c r="K124" s="8" t="s">
        <v>468</v>
      </c>
      <c r="L124" s="8">
        <v>1553263</v>
      </c>
      <c r="M124" s="8">
        <v>53906</v>
      </c>
      <c r="N124" s="8" t="s">
        <v>469</v>
      </c>
      <c r="O124" s="10">
        <v>0.44305555555555554</v>
      </c>
      <c r="P124" s="10">
        <v>0.44722222222222219</v>
      </c>
      <c r="Q124" s="8"/>
      <c r="R124" s="10">
        <v>0.45416666666666666</v>
      </c>
      <c r="S124" s="8"/>
      <c r="T124" s="8">
        <v>4</v>
      </c>
      <c r="U124" s="4"/>
    </row>
    <row r="125" spans="1:21" x14ac:dyDescent="0.45">
      <c r="A125" s="13">
        <v>44986</v>
      </c>
      <c r="B125" s="18">
        <v>2023</v>
      </c>
      <c r="C125" s="8" t="s">
        <v>442</v>
      </c>
      <c r="D125" s="8" t="s">
        <v>470</v>
      </c>
      <c r="E125" s="8" t="s">
        <v>444</v>
      </c>
      <c r="F125" s="8" t="s">
        <v>26</v>
      </c>
      <c r="G125" s="8">
        <v>93</v>
      </c>
      <c r="H125" s="8">
        <v>103</v>
      </c>
      <c r="I125" s="8">
        <v>125</v>
      </c>
      <c r="J125" s="8"/>
      <c r="K125" s="8">
        <v>185</v>
      </c>
      <c r="L125" s="8">
        <v>1553264</v>
      </c>
      <c r="M125" s="8">
        <v>53907</v>
      </c>
      <c r="N125" s="8" t="s">
        <v>471</v>
      </c>
      <c r="O125" s="10">
        <v>0.54305555555555551</v>
      </c>
      <c r="P125" s="10">
        <v>0.54652777777777783</v>
      </c>
      <c r="Q125" s="8"/>
      <c r="R125" s="10">
        <v>0.5541666666666667</v>
      </c>
      <c r="S125" s="8"/>
      <c r="T125" s="8">
        <v>3</v>
      </c>
      <c r="U125" s="4"/>
    </row>
    <row r="126" spans="1:21" x14ac:dyDescent="0.45">
      <c r="A126" s="5">
        <v>44992</v>
      </c>
      <c r="B126" s="18">
        <v>2023</v>
      </c>
      <c r="C126" s="8" t="s">
        <v>474</v>
      </c>
      <c r="D126" s="8" t="s">
        <v>475</v>
      </c>
      <c r="E126" s="8" t="s">
        <v>39</v>
      </c>
      <c r="F126" s="8" t="s">
        <v>20</v>
      </c>
      <c r="G126" s="8">
        <v>172</v>
      </c>
      <c r="H126" s="8">
        <v>193</v>
      </c>
      <c r="I126" s="8">
        <v>242</v>
      </c>
      <c r="J126" s="8"/>
      <c r="K126" s="8">
        <v>195</v>
      </c>
      <c r="L126" s="8" t="s">
        <v>97</v>
      </c>
      <c r="M126" s="8" t="s">
        <v>97</v>
      </c>
      <c r="N126" s="8" t="s">
        <v>97</v>
      </c>
      <c r="O126" s="10">
        <v>0.7909722222222223</v>
      </c>
      <c r="P126" s="8" t="s">
        <v>97</v>
      </c>
      <c r="Q126" s="4"/>
      <c r="R126" s="10">
        <v>0.79583333333333339</v>
      </c>
      <c r="S126" s="4"/>
      <c r="T126" s="4"/>
      <c r="U126" s="4"/>
    </row>
    <row r="127" spans="1:21" x14ac:dyDescent="0.45">
      <c r="A127" s="5">
        <v>44992</v>
      </c>
      <c r="B127" s="18">
        <v>2023</v>
      </c>
      <c r="C127" s="8" t="s">
        <v>474</v>
      </c>
      <c r="D127" s="8" t="s">
        <v>476</v>
      </c>
      <c r="E127" s="8" t="s">
        <v>40</v>
      </c>
      <c r="F127" s="8" t="s">
        <v>20</v>
      </c>
      <c r="G127" s="8">
        <v>141</v>
      </c>
      <c r="H127" s="8">
        <v>157</v>
      </c>
      <c r="I127" s="8">
        <v>191</v>
      </c>
      <c r="J127" s="8"/>
      <c r="K127" s="8">
        <v>196</v>
      </c>
      <c r="L127" s="8" t="s">
        <v>97</v>
      </c>
      <c r="M127" s="8" t="s">
        <v>97</v>
      </c>
      <c r="N127" s="16" t="s">
        <v>486</v>
      </c>
      <c r="O127" s="10">
        <v>0.80902777777777779</v>
      </c>
      <c r="P127" s="8" t="s">
        <v>97</v>
      </c>
      <c r="Q127" s="4"/>
      <c r="R127" s="10">
        <v>0.81319444444444444</v>
      </c>
      <c r="S127" s="4"/>
      <c r="T127" s="4"/>
      <c r="U127" s="4" t="s">
        <v>496</v>
      </c>
    </row>
    <row r="128" spans="1:21" x14ac:dyDescent="0.45">
      <c r="A128" s="5">
        <v>44992</v>
      </c>
      <c r="B128" s="18">
        <v>2023</v>
      </c>
      <c r="C128" s="8" t="s">
        <v>474</v>
      </c>
      <c r="D128" s="8" t="s">
        <v>477</v>
      </c>
      <c r="E128" s="8" t="s">
        <v>40</v>
      </c>
      <c r="F128" s="8" t="s">
        <v>20</v>
      </c>
      <c r="G128" s="8">
        <v>125</v>
      </c>
      <c r="H128" s="8">
        <v>140</v>
      </c>
      <c r="I128" s="8">
        <v>168</v>
      </c>
      <c r="J128" s="8"/>
      <c r="K128" s="8">
        <v>197</v>
      </c>
      <c r="L128" s="8" t="s">
        <v>97</v>
      </c>
      <c r="M128" s="8" t="s">
        <v>97</v>
      </c>
      <c r="N128" s="16" t="s">
        <v>487</v>
      </c>
      <c r="O128" s="10">
        <v>0.81597222222222221</v>
      </c>
      <c r="P128" s="8" t="s">
        <v>97</v>
      </c>
      <c r="Q128" s="4"/>
      <c r="R128" s="10">
        <v>0.8208333333333333</v>
      </c>
      <c r="S128" s="4"/>
      <c r="T128" s="4"/>
      <c r="U128" s="4" t="s">
        <v>496</v>
      </c>
    </row>
    <row r="129" spans="1:21" x14ac:dyDescent="0.45">
      <c r="A129" s="5">
        <v>44992</v>
      </c>
      <c r="B129" s="18">
        <v>2023</v>
      </c>
      <c r="C129" s="8" t="s">
        <v>474</v>
      </c>
      <c r="D129" s="8" t="s">
        <v>478</v>
      </c>
      <c r="E129" s="8" t="s">
        <v>40</v>
      </c>
      <c r="F129" s="8" t="s">
        <v>20</v>
      </c>
      <c r="G129" s="8">
        <v>112</v>
      </c>
      <c r="H129" s="8">
        <v>122</v>
      </c>
      <c r="I129" s="8">
        <v>153</v>
      </c>
      <c r="J129" s="8"/>
      <c r="K129" s="8">
        <v>198</v>
      </c>
      <c r="L129" s="8" t="s">
        <v>97</v>
      </c>
      <c r="M129" s="8" t="s">
        <v>97</v>
      </c>
      <c r="N129" s="16" t="s">
        <v>488</v>
      </c>
      <c r="O129" s="10">
        <v>0.8256944444444444</v>
      </c>
      <c r="P129" s="8" t="s">
        <v>97</v>
      </c>
      <c r="Q129" s="4"/>
      <c r="R129" s="10">
        <v>0.82916666666666661</v>
      </c>
      <c r="S129" s="4"/>
      <c r="T129" s="4"/>
      <c r="U129" s="4"/>
    </row>
    <row r="130" spans="1:21" x14ac:dyDescent="0.45">
      <c r="A130" s="5">
        <v>44992</v>
      </c>
      <c r="B130" s="18">
        <v>2023</v>
      </c>
      <c r="C130" s="8" t="s">
        <v>474</v>
      </c>
      <c r="D130" s="8" t="s">
        <v>479</v>
      </c>
      <c r="E130" s="8" t="s">
        <v>40</v>
      </c>
      <c r="F130" s="8" t="s">
        <v>20</v>
      </c>
      <c r="G130" s="8">
        <v>122</v>
      </c>
      <c r="H130" s="8">
        <v>137</v>
      </c>
      <c r="I130" s="8">
        <v>169</v>
      </c>
      <c r="J130" s="8"/>
      <c r="K130" s="8">
        <v>199</v>
      </c>
      <c r="L130" s="8" t="s">
        <v>97</v>
      </c>
      <c r="M130" s="8" t="s">
        <v>97</v>
      </c>
      <c r="N130" s="16" t="s">
        <v>489</v>
      </c>
      <c r="O130" s="10">
        <v>0.83124999999999993</v>
      </c>
      <c r="P130" s="8" t="s">
        <v>97</v>
      </c>
      <c r="Q130" s="4"/>
      <c r="R130" s="10">
        <v>0.83472222222222225</v>
      </c>
      <c r="S130" s="4"/>
      <c r="T130" s="4"/>
      <c r="U130" s="4"/>
    </row>
    <row r="131" spans="1:21" x14ac:dyDescent="0.45">
      <c r="A131" s="5">
        <v>44992</v>
      </c>
      <c r="B131" s="18">
        <v>2023</v>
      </c>
      <c r="C131" s="8" t="s">
        <v>474</v>
      </c>
      <c r="D131" s="8" t="s">
        <v>480</v>
      </c>
      <c r="E131" s="8" t="s">
        <v>40</v>
      </c>
      <c r="F131" s="8" t="s">
        <v>20</v>
      </c>
      <c r="G131" s="8">
        <v>130</v>
      </c>
      <c r="H131" s="8">
        <v>145</v>
      </c>
      <c r="I131" s="8">
        <v>179</v>
      </c>
      <c r="J131" s="8"/>
      <c r="K131" s="8">
        <v>200</v>
      </c>
      <c r="L131" s="8" t="s">
        <v>97</v>
      </c>
      <c r="M131" s="8" t="s">
        <v>97</v>
      </c>
      <c r="N131" s="16" t="s">
        <v>490</v>
      </c>
      <c r="O131" s="10">
        <v>0.83819444444444446</v>
      </c>
      <c r="P131" s="8" t="s">
        <v>97</v>
      </c>
      <c r="Q131" s="4"/>
      <c r="R131" s="10">
        <v>0.84166666666666667</v>
      </c>
      <c r="S131" s="4"/>
      <c r="T131" s="4"/>
      <c r="U131" s="4"/>
    </row>
    <row r="132" spans="1:21" x14ac:dyDescent="0.45">
      <c r="A132" s="5">
        <v>44992</v>
      </c>
      <c r="B132" s="18">
        <v>2023</v>
      </c>
      <c r="C132" s="8" t="s">
        <v>474</v>
      </c>
      <c r="D132" s="8" t="s">
        <v>481</v>
      </c>
      <c r="E132" s="8" t="s">
        <v>40</v>
      </c>
      <c r="F132" s="8" t="s">
        <v>20</v>
      </c>
      <c r="G132" s="8">
        <v>125</v>
      </c>
      <c r="H132" s="8">
        <v>138</v>
      </c>
      <c r="I132" s="8">
        <v>170</v>
      </c>
      <c r="J132" s="8"/>
      <c r="K132" s="8">
        <v>268</v>
      </c>
      <c r="L132" s="8" t="s">
        <v>97</v>
      </c>
      <c r="M132" s="8" t="s">
        <v>97</v>
      </c>
      <c r="N132" s="16" t="s">
        <v>491</v>
      </c>
      <c r="O132" s="10">
        <v>0.85</v>
      </c>
      <c r="P132" s="8" t="s">
        <v>97</v>
      </c>
      <c r="Q132" s="4"/>
      <c r="R132" s="10">
        <v>0.85486111111111107</v>
      </c>
      <c r="S132" s="4"/>
      <c r="T132" s="4"/>
      <c r="U132" s="4"/>
    </row>
    <row r="133" spans="1:21" x14ac:dyDescent="0.45">
      <c r="A133" s="5">
        <v>44992</v>
      </c>
      <c r="B133" s="18">
        <v>2023</v>
      </c>
      <c r="C133" s="8" t="s">
        <v>474</v>
      </c>
      <c r="D133" s="8" t="s">
        <v>482</v>
      </c>
      <c r="E133" s="8" t="s">
        <v>40</v>
      </c>
      <c r="F133" s="8" t="s">
        <v>20</v>
      </c>
      <c r="G133" s="8">
        <v>127</v>
      </c>
      <c r="H133" s="8">
        <v>142</v>
      </c>
      <c r="I133" s="8">
        <v>174</v>
      </c>
      <c r="J133" s="8"/>
      <c r="K133" s="8">
        <v>267</v>
      </c>
      <c r="L133" s="8" t="s">
        <v>97</v>
      </c>
      <c r="M133" s="8" t="s">
        <v>97</v>
      </c>
      <c r="N133" s="16" t="s">
        <v>492</v>
      </c>
      <c r="O133" s="10">
        <v>0.8666666666666667</v>
      </c>
      <c r="P133" s="8" t="s">
        <v>97</v>
      </c>
      <c r="Q133" s="4"/>
      <c r="R133" s="10">
        <v>0.87013888888888891</v>
      </c>
      <c r="S133" s="4"/>
      <c r="T133" s="4"/>
      <c r="U133" s="4"/>
    </row>
    <row r="134" spans="1:21" x14ac:dyDescent="0.45">
      <c r="A134" s="5">
        <v>44992</v>
      </c>
      <c r="B134" s="18">
        <v>2023</v>
      </c>
      <c r="C134" s="8" t="s">
        <v>474</v>
      </c>
      <c r="D134" s="8" t="s">
        <v>483</v>
      </c>
      <c r="E134" s="8" t="s">
        <v>40</v>
      </c>
      <c r="F134" s="8" t="s">
        <v>20</v>
      </c>
      <c r="G134" s="8">
        <v>105</v>
      </c>
      <c r="H134" s="8">
        <v>117</v>
      </c>
      <c r="I134" s="8">
        <v>143</v>
      </c>
      <c r="J134" s="8"/>
      <c r="K134" s="8">
        <v>266</v>
      </c>
      <c r="L134" s="8" t="s">
        <v>97</v>
      </c>
      <c r="M134" s="8" t="s">
        <v>97</v>
      </c>
      <c r="N134" s="16" t="s">
        <v>493</v>
      </c>
      <c r="O134" s="10">
        <v>0.88124999999999998</v>
      </c>
      <c r="P134" s="8" t="s">
        <v>97</v>
      </c>
      <c r="Q134" s="4"/>
      <c r="R134" s="10">
        <v>0.88750000000000007</v>
      </c>
      <c r="S134" s="4"/>
      <c r="T134" s="4"/>
      <c r="U134" s="4"/>
    </row>
    <row r="135" spans="1:21" x14ac:dyDescent="0.45">
      <c r="A135" s="5">
        <v>44992</v>
      </c>
      <c r="B135" s="18">
        <v>2023</v>
      </c>
      <c r="C135" s="8" t="s">
        <v>474</v>
      </c>
      <c r="D135" s="8" t="s">
        <v>484</v>
      </c>
      <c r="E135" s="8" t="s">
        <v>39</v>
      </c>
      <c r="F135" s="8" t="s">
        <v>20</v>
      </c>
      <c r="G135" s="8">
        <v>149</v>
      </c>
      <c r="H135" s="8">
        <v>166</v>
      </c>
      <c r="I135" s="8">
        <v>203</v>
      </c>
      <c r="J135" s="8"/>
      <c r="K135" s="8">
        <v>265</v>
      </c>
      <c r="L135" s="8" t="s">
        <v>97</v>
      </c>
      <c r="M135" s="8" t="s">
        <v>97</v>
      </c>
      <c r="N135" s="16" t="s">
        <v>494</v>
      </c>
      <c r="O135" s="10">
        <v>0.89236111111111116</v>
      </c>
      <c r="P135" s="8" t="s">
        <v>97</v>
      </c>
      <c r="Q135" s="4"/>
      <c r="R135" s="10">
        <v>0.89722222222222225</v>
      </c>
      <c r="S135" s="4"/>
      <c r="T135" s="4"/>
      <c r="U135" s="4"/>
    </row>
    <row r="136" spans="1:21" x14ac:dyDescent="0.45">
      <c r="A136" s="5">
        <v>44992</v>
      </c>
      <c r="B136" s="18">
        <v>2023</v>
      </c>
      <c r="C136" s="8" t="s">
        <v>474</v>
      </c>
      <c r="D136" s="8" t="s">
        <v>485</v>
      </c>
      <c r="E136" s="8" t="s">
        <v>40</v>
      </c>
      <c r="F136" s="8" t="s">
        <v>20</v>
      </c>
      <c r="G136" s="8">
        <v>100</v>
      </c>
      <c r="H136" s="8">
        <v>111</v>
      </c>
      <c r="I136" s="8">
        <v>136</v>
      </c>
      <c r="J136" s="8"/>
      <c r="K136" s="8">
        <v>269</v>
      </c>
      <c r="L136" s="8" t="s">
        <v>97</v>
      </c>
      <c r="M136" s="8" t="s">
        <v>97</v>
      </c>
      <c r="N136" s="16" t="s">
        <v>495</v>
      </c>
      <c r="O136" s="10">
        <v>0.90277777777777779</v>
      </c>
      <c r="P136" s="8" t="s">
        <v>97</v>
      </c>
      <c r="Q136" s="4"/>
      <c r="R136" s="10">
        <v>0.90694444444444444</v>
      </c>
      <c r="S136" s="4"/>
      <c r="T136" s="4"/>
      <c r="U136" s="4"/>
    </row>
    <row r="137" spans="1:21" x14ac:dyDescent="0.45">
      <c r="A137" s="5">
        <v>44993</v>
      </c>
      <c r="B137" s="18">
        <v>2023</v>
      </c>
      <c r="C137" s="8" t="s">
        <v>474</v>
      </c>
      <c r="D137" s="8" t="s">
        <v>511</v>
      </c>
      <c r="E137" s="8" t="s">
        <v>40</v>
      </c>
      <c r="F137" s="8" t="s">
        <v>20</v>
      </c>
      <c r="G137" s="8">
        <v>120</v>
      </c>
      <c r="H137" s="8">
        <v>134</v>
      </c>
      <c r="I137" s="8">
        <v>162</v>
      </c>
      <c r="J137" s="8"/>
      <c r="K137" s="8">
        <v>270</v>
      </c>
      <c r="L137" s="8" t="s">
        <v>97</v>
      </c>
      <c r="M137" s="8" t="s">
        <v>97</v>
      </c>
      <c r="N137" s="16" t="s">
        <v>529</v>
      </c>
      <c r="O137" s="10">
        <v>0.80555555555555547</v>
      </c>
      <c r="P137" s="8" t="s">
        <v>97</v>
      </c>
      <c r="Q137" s="8"/>
      <c r="R137" s="10">
        <v>0.81041666666666667</v>
      </c>
      <c r="S137" s="4"/>
      <c r="T137" s="4"/>
      <c r="U137" s="4"/>
    </row>
    <row r="138" spans="1:21" x14ac:dyDescent="0.45">
      <c r="A138" s="5">
        <v>44993</v>
      </c>
      <c r="B138" s="18">
        <v>2023</v>
      </c>
      <c r="C138" s="8" t="s">
        <v>474</v>
      </c>
      <c r="D138" s="8" t="s">
        <v>512</v>
      </c>
      <c r="E138" s="8" t="s">
        <v>39</v>
      </c>
      <c r="F138" s="8" t="s">
        <v>20</v>
      </c>
      <c r="G138" s="8">
        <v>153</v>
      </c>
      <c r="H138" s="8">
        <v>172</v>
      </c>
      <c r="I138" s="8">
        <v>210</v>
      </c>
      <c r="J138" s="8"/>
      <c r="K138" s="8">
        <v>271</v>
      </c>
      <c r="L138" s="8" t="s">
        <v>97</v>
      </c>
      <c r="M138" s="8" t="s">
        <v>97</v>
      </c>
      <c r="N138" s="16" t="s">
        <v>530</v>
      </c>
      <c r="O138" s="10">
        <v>0.81874999999999998</v>
      </c>
      <c r="P138" s="8" t="s">
        <v>97</v>
      </c>
      <c r="Q138" s="8"/>
      <c r="R138" s="10">
        <v>0.82291666666666663</v>
      </c>
      <c r="S138" s="4"/>
      <c r="T138" s="4"/>
      <c r="U138" s="4"/>
    </row>
    <row r="139" spans="1:21" x14ac:dyDescent="0.45">
      <c r="A139" s="5">
        <v>44993</v>
      </c>
      <c r="B139" s="18">
        <v>2023</v>
      </c>
      <c r="C139" s="8" t="s">
        <v>474</v>
      </c>
      <c r="D139" s="8" t="s">
        <v>513</v>
      </c>
      <c r="E139" s="8" t="s">
        <v>39</v>
      </c>
      <c r="F139" s="8" t="s">
        <v>20</v>
      </c>
      <c r="G139" s="8">
        <v>146</v>
      </c>
      <c r="H139" s="8">
        <v>163</v>
      </c>
      <c r="I139" s="8">
        <v>203</v>
      </c>
      <c r="J139" s="8"/>
      <c r="K139" s="8">
        <v>272</v>
      </c>
      <c r="L139" s="8" t="s">
        <v>97</v>
      </c>
      <c r="M139" s="8" t="s">
        <v>97</v>
      </c>
      <c r="N139" s="16" t="s">
        <v>531</v>
      </c>
      <c r="O139" s="10">
        <v>0.82638888888888884</v>
      </c>
      <c r="P139" s="8" t="s">
        <v>97</v>
      </c>
      <c r="Q139" s="8"/>
      <c r="R139" s="10">
        <v>0.82986111111111116</v>
      </c>
      <c r="S139" s="4"/>
      <c r="T139" s="4"/>
      <c r="U139" s="4"/>
    </row>
    <row r="140" spans="1:21" x14ac:dyDescent="0.45">
      <c r="A140" s="5">
        <v>44993</v>
      </c>
      <c r="B140" s="18">
        <v>2023</v>
      </c>
      <c r="C140" s="8" t="s">
        <v>474</v>
      </c>
      <c r="D140" s="8" t="s">
        <v>514</v>
      </c>
      <c r="E140" s="8" t="s">
        <v>39</v>
      </c>
      <c r="F140" s="8" t="s">
        <v>20</v>
      </c>
      <c r="G140" s="8">
        <v>170</v>
      </c>
      <c r="H140" s="8">
        <v>191</v>
      </c>
      <c r="I140" s="8">
        <v>231</v>
      </c>
      <c r="J140" s="8"/>
      <c r="K140" s="8">
        <v>273</v>
      </c>
      <c r="L140" s="8" t="s">
        <v>97</v>
      </c>
      <c r="M140" s="8" t="s">
        <v>97</v>
      </c>
      <c r="N140" s="16" t="s">
        <v>532</v>
      </c>
      <c r="O140" s="10">
        <v>0.8340277777777777</v>
      </c>
      <c r="P140" s="8" t="s">
        <v>97</v>
      </c>
      <c r="Q140" s="8"/>
      <c r="R140" s="10">
        <v>0.84166666666666667</v>
      </c>
      <c r="S140" s="4"/>
      <c r="T140" s="4"/>
      <c r="U140" s="4"/>
    </row>
    <row r="141" spans="1:21" x14ac:dyDescent="0.45">
      <c r="A141" s="5">
        <v>44993</v>
      </c>
      <c r="B141" s="18">
        <v>2023</v>
      </c>
      <c r="C141" s="8" t="s">
        <v>474</v>
      </c>
      <c r="D141" s="8" t="s">
        <v>515</v>
      </c>
      <c r="E141" s="8" t="s">
        <v>40</v>
      </c>
      <c r="F141" s="8" t="s">
        <v>20</v>
      </c>
      <c r="G141" s="8">
        <v>100</v>
      </c>
      <c r="H141" s="8">
        <v>112</v>
      </c>
      <c r="I141" s="8">
        <v>136</v>
      </c>
      <c r="J141" s="8"/>
      <c r="K141" s="8">
        <v>274</v>
      </c>
      <c r="L141" s="8" t="s">
        <v>97</v>
      </c>
      <c r="M141" s="8" t="s">
        <v>97</v>
      </c>
      <c r="N141" s="16" t="s">
        <v>533</v>
      </c>
      <c r="O141" s="10">
        <v>0.84652777777777777</v>
      </c>
      <c r="P141" s="8" t="s">
        <v>97</v>
      </c>
      <c r="Q141" s="8"/>
      <c r="R141" s="10">
        <v>0.85069444444444453</v>
      </c>
      <c r="S141" s="4"/>
      <c r="T141" s="4"/>
      <c r="U141" s="4"/>
    </row>
    <row r="142" spans="1:21" x14ac:dyDescent="0.45">
      <c r="A142" s="5">
        <v>44993</v>
      </c>
      <c r="B142" s="18">
        <v>2023</v>
      </c>
      <c r="C142" s="8" t="s">
        <v>474</v>
      </c>
      <c r="D142" s="8" t="s">
        <v>516</v>
      </c>
      <c r="E142" s="8" t="s">
        <v>40</v>
      </c>
      <c r="F142" s="8" t="s">
        <v>20</v>
      </c>
      <c r="G142" s="8">
        <v>135</v>
      </c>
      <c r="H142" s="8">
        <v>150</v>
      </c>
      <c r="I142" s="8">
        <v>181</v>
      </c>
      <c r="J142" s="8"/>
      <c r="K142" s="8">
        <v>275</v>
      </c>
      <c r="L142" s="8" t="s">
        <v>97</v>
      </c>
      <c r="M142" s="8" t="s">
        <v>97</v>
      </c>
      <c r="N142" s="16" t="s">
        <v>534</v>
      </c>
      <c r="O142" s="10">
        <v>0.8618055555555556</v>
      </c>
      <c r="P142" s="8" t="s">
        <v>97</v>
      </c>
      <c r="Q142" s="8"/>
      <c r="R142" s="10">
        <v>0.86597222222222225</v>
      </c>
      <c r="S142" s="4"/>
      <c r="T142" s="4"/>
      <c r="U142" s="4"/>
    </row>
    <row r="143" spans="1:21" x14ac:dyDescent="0.45">
      <c r="A143" s="5">
        <v>44993</v>
      </c>
      <c r="B143" s="18">
        <v>2023</v>
      </c>
      <c r="C143" s="8" t="s">
        <v>474</v>
      </c>
      <c r="D143" s="8" t="s">
        <v>517</v>
      </c>
      <c r="E143" s="8" t="s">
        <v>40</v>
      </c>
      <c r="F143" s="8" t="s">
        <v>20</v>
      </c>
      <c r="G143" s="8">
        <v>121</v>
      </c>
      <c r="H143" s="8">
        <v>137</v>
      </c>
      <c r="I143" s="8">
        <v>165</v>
      </c>
      <c r="J143" s="8"/>
      <c r="K143" s="8">
        <v>276</v>
      </c>
      <c r="L143" s="8" t="s">
        <v>97</v>
      </c>
      <c r="M143" s="8" t="s">
        <v>97</v>
      </c>
      <c r="N143" s="16" t="s">
        <v>535</v>
      </c>
      <c r="O143" s="10">
        <v>0.87291666666666667</v>
      </c>
      <c r="P143" s="8" t="s">
        <v>97</v>
      </c>
      <c r="Q143" s="8"/>
      <c r="R143" s="10">
        <v>0.87638888888888899</v>
      </c>
      <c r="S143" s="4"/>
      <c r="T143" s="4"/>
      <c r="U143" s="4"/>
    </row>
    <row r="144" spans="1:21" x14ac:dyDescent="0.45">
      <c r="A144" s="5">
        <v>44994</v>
      </c>
      <c r="B144" s="18">
        <v>2023</v>
      </c>
      <c r="C144" s="8" t="s">
        <v>474</v>
      </c>
      <c r="D144" s="8" t="s">
        <v>518</v>
      </c>
      <c r="E144" s="8" t="s">
        <v>39</v>
      </c>
      <c r="F144" s="8" t="s">
        <v>20</v>
      </c>
      <c r="G144" s="8">
        <v>80</v>
      </c>
      <c r="H144" s="8">
        <v>99</v>
      </c>
      <c r="I144" s="8">
        <v>100</v>
      </c>
      <c r="J144" s="8"/>
      <c r="K144" s="8">
        <v>277</v>
      </c>
      <c r="L144" s="8" t="s">
        <v>97</v>
      </c>
      <c r="M144" s="8" t="s">
        <v>97</v>
      </c>
      <c r="N144" s="8" t="s">
        <v>97</v>
      </c>
      <c r="O144" s="10">
        <v>0.81180555555555556</v>
      </c>
      <c r="P144" s="8" t="s">
        <v>97</v>
      </c>
      <c r="Q144" s="8"/>
      <c r="R144" s="10">
        <v>0.81458333333333333</v>
      </c>
      <c r="S144" s="4"/>
      <c r="T144" s="4"/>
      <c r="U144" s="4"/>
    </row>
    <row r="145" spans="1:21" x14ac:dyDescent="0.45">
      <c r="A145" s="5">
        <v>44994</v>
      </c>
      <c r="B145" s="18">
        <v>2023</v>
      </c>
      <c r="C145" s="8" t="s">
        <v>474</v>
      </c>
      <c r="D145" s="8" t="s">
        <v>519</v>
      </c>
      <c r="E145" s="8" t="s">
        <v>40</v>
      </c>
      <c r="F145" s="8" t="s">
        <v>20</v>
      </c>
      <c r="G145" s="8">
        <v>118</v>
      </c>
      <c r="H145" s="8">
        <v>132</v>
      </c>
      <c r="I145" s="8">
        <v>159</v>
      </c>
      <c r="J145" s="8"/>
      <c r="K145" s="8">
        <v>278</v>
      </c>
      <c r="L145" s="8" t="s">
        <v>97</v>
      </c>
      <c r="M145" s="8" t="s">
        <v>97</v>
      </c>
      <c r="N145" s="16" t="s">
        <v>536</v>
      </c>
      <c r="O145" s="10">
        <v>0.81874999999999998</v>
      </c>
      <c r="P145" s="8" t="s">
        <v>97</v>
      </c>
      <c r="Q145" s="8"/>
      <c r="R145" s="10">
        <v>0.82152777777777775</v>
      </c>
      <c r="S145" s="4"/>
      <c r="T145" s="4"/>
      <c r="U145" s="4" t="s">
        <v>546</v>
      </c>
    </row>
    <row r="146" spans="1:21" x14ac:dyDescent="0.45">
      <c r="A146" s="5">
        <v>44994</v>
      </c>
      <c r="B146" s="18">
        <v>2023</v>
      </c>
      <c r="C146" s="8" t="s">
        <v>474</v>
      </c>
      <c r="D146" s="8" t="s">
        <v>520</v>
      </c>
      <c r="E146" s="8" t="s">
        <v>40</v>
      </c>
      <c r="F146" s="8" t="s">
        <v>20</v>
      </c>
      <c r="G146" s="8">
        <v>155</v>
      </c>
      <c r="H146" s="8">
        <v>172</v>
      </c>
      <c r="I146" s="8">
        <v>205</v>
      </c>
      <c r="J146" s="8"/>
      <c r="K146" s="8">
        <v>279</v>
      </c>
      <c r="L146" s="8" t="s">
        <v>97</v>
      </c>
      <c r="M146" s="8" t="s">
        <v>97</v>
      </c>
      <c r="N146" s="16" t="s">
        <v>537</v>
      </c>
      <c r="O146" s="10">
        <v>0.82777777777777783</v>
      </c>
      <c r="P146" s="8" t="s">
        <v>97</v>
      </c>
      <c r="Q146" s="8"/>
      <c r="R146" s="10">
        <v>0.8305555555555556</v>
      </c>
      <c r="S146" s="4"/>
      <c r="T146" s="4"/>
      <c r="U146" s="4"/>
    </row>
    <row r="147" spans="1:21" x14ac:dyDescent="0.45">
      <c r="A147" s="5">
        <v>44994</v>
      </c>
      <c r="B147" s="18">
        <v>2023</v>
      </c>
      <c r="C147" s="8" t="s">
        <v>474</v>
      </c>
      <c r="D147" s="8" t="s">
        <v>521</v>
      </c>
      <c r="E147" s="8" t="s">
        <v>40</v>
      </c>
      <c r="F147" s="8" t="s">
        <v>26</v>
      </c>
      <c r="G147" s="8">
        <v>119</v>
      </c>
      <c r="H147" s="8">
        <v>133</v>
      </c>
      <c r="I147" s="8">
        <v>159</v>
      </c>
      <c r="J147" s="8"/>
      <c r="K147" s="8">
        <v>280</v>
      </c>
      <c r="L147" s="8" t="s">
        <v>97</v>
      </c>
      <c r="M147" s="8" t="s">
        <v>97</v>
      </c>
      <c r="N147" s="16" t="s">
        <v>538</v>
      </c>
      <c r="O147" s="8" t="s">
        <v>97</v>
      </c>
      <c r="P147" s="8" t="s">
        <v>97</v>
      </c>
      <c r="Q147" s="8"/>
      <c r="R147" s="10">
        <v>0.83680555555555547</v>
      </c>
      <c r="S147" s="4"/>
      <c r="T147" s="4"/>
      <c r="U147" s="4"/>
    </row>
    <row r="148" spans="1:21" x14ac:dyDescent="0.45">
      <c r="A148" s="5">
        <v>44994</v>
      </c>
      <c r="B148" s="18">
        <v>2023</v>
      </c>
      <c r="C148" s="8" t="s">
        <v>474</v>
      </c>
      <c r="D148" s="8" t="s">
        <v>522</v>
      </c>
      <c r="E148" s="8" t="s">
        <v>40</v>
      </c>
      <c r="F148" s="8" t="s">
        <v>20</v>
      </c>
      <c r="G148" s="8">
        <v>103</v>
      </c>
      <c r="H148" s="8">
        <v>111</v>
      </c>
      <c r="I148" s="8">
        <v>142</v>
      </c>
      <c r="J148" s="8"/>
      <c r="K148" s="8">
        <v>281</v>
      </c>
      <c r="L148" s="8" t="s">
        <v>97</v>
      </c>
      <c r="M148" s="8" t="s">
        <v>97</v>
      </c>
      <c r="N148" s="16" t="s">
        <v>539</v>
      </c>
      <c r="O148" s="10">
        <v>0.84444444444444444</v>
      </c>
      <c r="P148" s="8" t="s">
        <v>97</v>
      </c>
      <c r="Q148" s="8"/>
      <c r="R148" s="10">
        <v>0.84652777777777777</v>
      </c>
      <c r="S148" s="4"/>
      <c r="T148" s="4"/>
      <c r="U148" s="4"/>
    </row>
    <row r="149" spans="1:21" x14ac:dyDescent="0.45">
      <c r="A149" s="5">
        <v>44994</v>
      </c>
      <c r="B149" s="18">
        <v>2023</v>
      </c>
      <c r="C149" s="8" t="s">
        <v>474</v>
      </c>
      <c r="D149" s="8" t="s">
        <v>523</v>
      </c>
      <c r="E149" s="8" t="s">
        <v>40</v>
      </c>
      <c r="F149" s="8" t="s">
        <v>20</v>
      </c>
      <c r="G149" s="8">
        <v>112</v>
      </c>
      <c r="H149" s="8">
        <v>125</v>
      </c>
      <c r="I149" s="8">
        <v>151</v>
      </c>
      <c r="J149" s="8"/>
      <c r="K149" s="8">
        <v>282</v>
      </c>
      <c r="L149" s="8" t="s">
        <v>97</v>
      </c>
      <c r="M149" s="8" t="s">
        <v>97</v>
      </c>
      <c r="N149" s="16" t="s">
        <v>540</v>
      </c>
      <c r="O149" s="10">
        <v>0.85763888888888884</v>
      </c>
      <c r="P149" s="8" t="s">
        <v>97</v>
      </c>
      <c r="Q149" s="8"/>
      <c r="R149" s="8" t="s">
        <v>97</v>
      </c>
      <c r="S149" s="4"/>
      <c r="T149" s="4"/>
      <c r="U149" s="4"/>
    </row>
    <row r="150" spans="1:21" x14ac:dyDescent="0.45">
      <c r="A150" s="5">
        <v>44994</v>
      </c>
      <c r="B150" s="18">
        <v>2023</v>
      </c>
      <c r="C150" s="8" t="s">
        <v>474</v>
      </c>
      <c r="D150" s="8" t="s">
        <v>524</v>
      </c>
      <c r="E150" s="8" t="s">
        <v>40</v>
      </c>
      <c r="F150" s="8" t="s">
        <v>20</v>
      </c>
      <c r="G150" s="8">
        <v>134</v>
      </c>
      <c r="H150" s="8">
        <v>149</v>
      </c>
      <c r="I150" s="8">
        <v>180</v>
      </c>
      <c r="J150" s="8"/>
      <c r="K150" s="8">
        <v>283</v>
      </c>
      <c r="L150" s="8" t="s">
        <v>97</v>
      </c>
      <c r="M150" s="8" t="s">
        <v>97</v>
      </c>
      <c r="N150" s="16" t="s">
        <v>541</v>
      </c>
      <c r="O150" s="10">
        <v>0.86944444444444446</v>
      </c>
      <c r="P150" s="8" t="s">
        <v>97</v>
      </c>
      <c r="Q150" s="8"/>
      <c r="R150" s="10">
        <v>0.87222222222222223</v>
      </c>
      <c r="S150" s="4"/>
      <c r="T150" s="4"/>
      <c r="U150" s="4"/>
    </row>
    <row r="151" spans="1:21" x14ac:dyDescent="0.45">
      <c r="A151" s="5">
        <v>44994</v>
      </c>
      <c r="B151" s="18">
        <v>2023</v>
      </c>
      <c r="C151" s="8" t="s">
        <v>474</v>
      </c>
      <c r="D151" s="8" t="s">
        <v>525</v>
      </c>
      <c r="E151" s="8" t="s">
        <v>40</v>
      </c>
      <c r="F151" s="8" t="s">
        <v>20</v>
      </c>
      <c r="G151" s="8">
        <v>134</v>
      </c>
      <c r="H151" s="8">
        <v>150</v>
      </c>
      <c r="I151" s="8">
        <v>182</v>
      </c>
      <c r="J151" s="8"/>
      <c r="K151" s="8">
        <v>284</v>
      </c>
      <c r="L151" s="8" t="s">
        <v>97</v>
      </c>
      <c r="M151" s="8" t="s">
        <v>97</v>
      </c>
      <c r="N151" s="16" t="s">
        <v>542</v>
      </c>
      <c r="O151" s="10">
        <v>0.87638888888888899</v>
      </c>
      <c r="P151" s="8" t="s">
        <v>97</v>
      </c>
      <c r="Q151" s="8"/>
      <c r="R151" s="10">
        <v>0.88055555555555554</v>
      </c>
      <c r="S151" s="4"/>
      <c r="T151" s="4"/>
      <c r="U151" s="4"/>
    </row>
    <row r="152" spans="1:21" x14ac:dyDescent="0.45">
      <c r="A152" s="5">
        <v>44994</v>
      </c>
      <c r="B152" s="18">
        <v>2023</v>
      </c>
      <c r="C152" s="8" t="s">
        <v>474</v>
      </c>
      <c r="D152" s="8" t="s">
        <v>526</v>
      </c>
      <c r="E152" s="8" t="s">
        <v>40</v>
      </c>
      <c r="F152" s="8" t="s">
        <v>20</v>
      </c>
      <c r="G152" s="8">
        <v>85</v>
      </c>
      <c r="H152" s="8">
        <v>94</v>
      </c>
      <c r="I152" s="8">
        <v>115</v>
      </c>
      <c r="J152" s="8"/>
      <c r="K152" s="8">
        <v>285</v>
      </c>
      <c r="L152" s="8" t="s">
        <v>97</v>
      </c>
      <c r="M152" s="8" t="s">
        <v>97</v>
      </c>
      <c r="N152" s="16" t="s">
        <v>543</v>
      </c>
      <c r="O152" s="10">
        <v>0.88958333333333339</v>
      </c>
      <c r="P152" s="8" t="s">
        <v>97</v>
      </c>
      <c r="Q152" s="8"/>
      <c r="R152" s="10">
        <v>0.89374999999999993</v>
      </c>
      <c r="S152" s="8"/>
      <c r="T152" s="8"/>
      <c r="U152" s="4"/>
    </row>
    <row r="153" spans="1:21" x14ac:dyDescent="0.45">
      <c r="A153" s="5">
        <v>44994</v>
      </c>
      <c r="B153" s="18">
        <v>2023</v>
      </c>
      <c r="C153" s="8" t="s">
        <v>474</v>
      </c>
      <c r="D153" s="8" t="s">
        <v>527</v>
      </c>
      <c r="E153" s="8" t="s">
        <v>40</v>
      </c>
      <c r="F153" s="8" t="s">
        <v>20</v>
      </c>
      <c r="G153" s="8">
        <v>115</v>
      </c>
      <c r="H153" s="8">
        <v>128</v>
      </c>
      <c r="I153" s="8">
        <v>155</v>
      </c>
      <c r="J153" s="8"/>
      <c r="K153" s="8">
        <v>288</v>
      </c>
      <c r="L153" s="8" t="s">
        <v>97</v>
      </c>
      <c r="M153" s="8" t="s">
        <v>97</v>
      </c>
      <c r="N153" s="16" t="s">
        <v>544</v>
      </c>
      <c r="O153" s="10">
        <v>0.90277777777777779</v>
      </c>
      <c r="P153" s="8" t="s">
        <v>97</v>
      </c>
      <c r="Q153" s="8"/>
      <c r="R153" s="10">
        <v>0.90486111111111101</v>
      </c>
      <c r="S153" s="8"/>
      <c r="T153" s="8"/>
      <c r="U153" s="4"/>
    </row>
    <row r="154" spans="1:21" x14ac:dyDescent="0.45">
      <c r="A154" s="5">
        <v>44994</v>
      </c>
      <c r="B154" s="18">
        <v>2023</v>
      </c>
      <c r="C154" s="8" t="s">
        <v>474</v>
      </c>
      <c r="D154" s="8" t="s">
        <v>528</v>
      </c>
      <c r="E154" s="8" t="s">
        <v>39</v>
      </c>
      <c r="F154" s="8" t="s">
        <v>20</v>
      </c>
      <c r="G154" s="8">
        <v>141</v>
      </c>
      <c r="H154" s="8">
        <v>157</v>
      </c>
      <c r="I154" s="8">
        <v>188</v>
      </c>
      <c r="J154" s="8"/>
      <c r="K154" s="8">
        <v>289</v>
      </c>
      <c r="L154" s="8" t="s">
        <v>97</v>
      </c>
      <c r="M154" s="8" t="s">
        <v>97</v>
      </c>
      <c r="N154" s="16" t="s">
        <v>545</v>
      </c>
      <c r="O154" s="10">
        <v>0.90555555555555556</v>
      </c>
      <c r="P154" s="8" t="s">
        <v>97</v>
      </c>
      <c r="Q154" s="8"/>
      <c r="R154" s="10">
        <v>0.91041666666666676</v>
      </c>
      <c r="S154" s="8"/>
      <c r="T154" s="8"/>
      <c r="U154" s="4" t="s">
        <v>547</v>
      </c>
    </row>
    <row r="155" spans="1:21" x14ac:dyDescent="0.45">
      <c r="A155" s="5">
        <v>44995</v>
      </c>
      <c r="B155" s="18">
        <v>2023</v>
      </c>
      <c r="C155" s="8" t="s">
        <v>442</v>
      </c>
      <c r="D155" s="8" t="s">
        <v>566</v>
      </c>
      <c r="E155" s="8" t="s">
        <v>39</v>
      </c>
      <c r="F155" s="8" t="s">
        <v>26</v>
      </c>
      <c r="G155" s="8">
        <v>83</v>
      </c>
      <c r="H155" s="8">
        <v>92</v>
      </c>
      <c r="I155" s="8">
        <v>113</v>
      </c>
      <c r="J155" s="4"/>
      <c r="K155" s="8">
        <v>290</v>
      </c>
      <c r="L155" s="8" t="s">
        <v>97</v>
      </c>
      <c r="M155" s="8" t="s">
        <v>97</v>
      </c>
      <c r="N155" s="8" t="s">
        <v>97</v>
      </c>
      <c r="O155" s="8" t="s">
        <v>97</v>
      </c>
      <c r="P155" s="10">
        <v>0.57777777777777783</v>
      </c>
      <c r="Q155" s="8"/>
      <c r="R155" s="10">
        <v>0.5805555555555556</v>
      </c>
      <c r="S155" s="8"/>
      <c r="T155" s="8"/>
      <c r="U155" s="4"/>
    </row>
    <row r="156" spans="1:21" x14ac:dyDescent="0.45">
      <c r="A156" s="5">
        <v>44995</v>
      </c>
      <c r="B156" s="18">
        <v>2023</v>
      </c>
      <c r="C156" s="8" t="s">
        <v>442</v>
      </c>
      <c r="D156" s="8" t="s">
        <v>567</v>
      </c>
      <c r="E156" s="8" t="s">
        <v>444</v>
      </c>
      <c r="F156" s="8" t="s">
        <v>20</v>
      </c>
      <c r="G156" s="8">
        <v>105</v>
      </c>
      <c r="H156" s="8">
        <v>117</v>
      </c>
      <c r="I156" s="8">
        <v>144</v>
      </c>
      <c r="J156" s="4"/>
      <c r="K156" s="8">
        <v>291</v>
      </c>
      <c r="L156" s="8">
        <v>1553265</v>
      </c>
      <c r="M156" s="8">
        <v>53908</v>
      </c>
      <c r="N156" s="8" t="s">
        <v>97</v>
      </c>
      <c r="O156" s="8" t="s">
        <v>97</v>
      </c>
      <c r="P156" s="10">
        <v>0.60069444444444442</v>
      </c>
      <c r="Q156" s="8"/>
      <c r="R156" s="10">
        <v>0.60486111111111118</v>
      </c>
      <c r="S156" s="8"/>
      <c r="T156" s="8"/>
      <c r="U156" s="4" t="s">
        <v>572</v>
      </c>
    </row>
    <row r="157" spans="1:21" x14ac:dyDescent="0.45">
      <c r="A157" s="5">
        <v>44995</v>
      </c>
      <c r="B157" s="18">
        <v>2023</v>
      </c>
      <c r="C157" s="8" t="s">
        <v>442</v>
      </c>
      <c r="D157" s="8" t="s">
        <v>568</v>
      </c>
      <c r="E157" s="8" t="s">
        <v>444</v>
      </c>
      <c r="F157" s="8" t="s">
        <v>26</v>
      </c>
      <c r="G157" s="8">
        <v>110</v>
      </c>
      <c r="H157" s="8">
        <v>122</v>
      </c>
      <c r="I157" s="8">
        <v>149</v>
      </c>
      <c r="J157" s="4"/>
      <c r="K157" s="8">
        <v>292</v>
      </c>
      <c r="L157" s="8">
        <v>1553266</v>
      </c>
      <c r="M157" s="8">
        <v>53909</v>
      </c>
      <c r="N157" s="8" t="s">
        <v>97</v>
      </c>
      <c r="O157" s="8" t="s">
        <v>97</v>
      </c>
      <c r="P157" s="8" t="s">
        <v>576</v>
      </c>
      <c r="Q157" s="8"/>
      <c r="R157" s="10">
        <v>0.63402777777777775</v>
      </c>
      <c r="S157" s="8"/>
      <c r="T157" s="8"/>
      <c r="U157" s="4"/>
    </row>
    <row r="158" spans="1:21" x14ac:dyDescent="0.45">
      <c r="A158" s="5">
        <v>44995</v>
      </c>
      <c r="B158" s="18">
        <v>2023</v>
      </c>
      <c r="C158" s="8" t="s">
        <v>442</v>
      </c>
      <c r="D158" s="8" t="s">
        <v>569</v>
      </c>
      <c r="E158" s="8" t="s">
        <v>444</v>
      </c>
      <c r="F158" s="8" t="s">
        <v>20</v>
      </c>
      <c r="G158" s="8">
        <v>88</v>
      </c>
      <c r="H158" s="8">
        <v>98</v>
      </c>
      <c r="I158" s="8">
        <v>119</v>
      </c>
      <c r="J158" s="4"/>
      <c r="K158" s="8">
        <v>293</v>
      </c>
      <c r="L158" s="8">
        <v>1553267</v>
      </c>
      <c r="M158" s="8">
        <v>53910</v>
      </c>
      <c r="N158" s="16" t="s">
        <v>575</v>
      </c>
      <c r="O158" s="8" t="s">
        <v>97</v>
      </c>
      <c r="P158" s="10">
        <v>0.64583333333333337</v>
      </c>
      <c r="Q158" s="8"/>
      <c r="R158" s="10">
        <v>0.65</v>
      </c>
      <c r="S158" s="8"/>
      <c r="T158" s="8"/>
      <c r="U158" s="4"/>
    </row>
    <row r="159" spans="1:21" x14ac:dyDescent="0.45">
      <c r="A159" s="5">
        <v>44995</v>
      </c>
      <c r="B159" s="18">
        <v>2023</v>
      </c>
      <c r="C159" s="8" t="s">
        <v>442</v>
      </c>
      <c r="D159" s="8" t="s">
        <v>570</v>
      </c>
      <c r="E159" s="8" t="s">
        <v>39</v>
      </c>
      <c r="F159" s="8" t="s">
        <v>26</v>
      </c>
      <c r="G159" s="8">
        <v>140</v>
      </c>
      <c r="H159" s="8">
        <v>154</v>
      </c>
      <c r="I159" s="8">
        <v>197</v>
      </c>
      <c r="J159" s="4"/>
      <c r="K159" s="8" t="s">
        <v>97</v>
      </c>
      <c r="L159" s="8" t="s">
        <v>97</v>
      </c>
      <c r="M159" s="8" t="s">
        <v>97</v>
      </c>
      <c r="N159" s="8" t="s">
        <v>97</v>
      </c>
      <c r="O159" s="8" t="s">
        <v>97</v>
      </c>
      <c r="P159" s="10">
        <v>0.67361111111111116</v>
      </c>
      <c r="Q159" s="8"/>
      <c r="R159" s="10">
        <v>0.67708333333333337</v>
      </c>
      <c r="S159" s="8"/>
      <c r="T159" s="8"/>
      <c r="U159" s="4" t="s">
        <v>573</v>
      </c>
    </row>
    <row r="160" spans="1:21" x14ac:dyDescent="0.45">
      <c r="A160" s="5">
        <v>44995</v>
      </c>
      <c r="B160" s="18">
        <v>2023</v>
      </c>
      <c r="C160" s="8" t="s">
        <v>442</v>
      </c>
      <c r="D160" s="8" t="s">
        <v>571</v>
      </c>
      <c r="E160" s="8" t="s">
        <v>444</v>
      </c>
      <c r="F160" s="8" t="s">
        <v>20</v>
      </c>
      <c r="G160" s="8">
        <v>93</v>
      </c>
      <c r="H160" s="8">
        <v>104</v>
      </c>
      <c r="I160" s="8">
        <v>119</v>
      </c>
      <c r="J160" s="4"/>
      <c r="K160" s="8">
        <v>294</v>
      </c>
      <c r="L160" s="8">
        <v>1553268</v>
      </c>
      <c r="M160" s="8">
        <v>53911</v>
      </c>
      <c r="N160" s="16" t="s">
        <v>574</v>
      </c>
      <c r="O160" s="8" t="s">
        <v>97</v>
      </c>
      <c r="P160" s="10">
        <v>0.69444444444444453</v>
      </c>
      <c r="Q160" s="8"/>
      <c r="R160" s="10">
        <v>0.69444444444444453</v>
      </c>
      <c r="S160" s="8"/>
      <c r="T160" s="8"/>
      <c r="U160" s="4" t="s">
        <v>565</v>
      </c>
    </row>
    <row r="161" spans="1:21" x14ac:dyDescent="0.45">
      <c r="A161" s="5">
        <v>44995</v>
      </c>
      <c r="B161" s="18">
        <v>2023</v>
      </c>
      <c r="C161" s="8" t="s">
        <v>474</v>
      </c>
      <c r="D161" s="8" t="s">
        <v>559</v>
      </c>
      <c r="E161" s="8" t="s">
        <v>39</v>
      </c>
      <c r="F161" s="8" t="s">
        <v>26</v>
      </c>
      <c r="G161" s="8">
        <v>141</v>
      </c>
      <c r="H161" s="8">
        <v>158</v>
      </c>
      <c r="I161" s="8">
        <v>193</v>
      </c>
      <c r="J161" s="4"/>
      <c r="K161" s="8" t="s">
        <v>97</v>
      </c>
      <c r="L161" s="8" t="s">
        <v>97</v>
      </c>
      <c r="M161" s="8" t="s">
        <v>97</v>
      </c>
      <c r="N161" s="16" t="s">
        <v>562</v>
      </c>
      <c r="O161" s="10">
        <v>0.82916666666666661</v>
      </c>
      <c r="P161" s="8" t="s">
        <v>97</v>
      </c>
      <c r="Q161" s="8"/>
      <c r="R161" s="10">
        <v>0.82916666666666661</v>
      </c>
      <c r="S161" s="8"/>
      <c r="T161" s="8"/>
      <c r="U161" s="4"/>
    </row>
    <row r="162" spans="1:21" x14ac:dyDescent="0.45">
      <c r="A162" s="5">
        <v>44995</v>
      </c>
      <c r="B162" s="18">
        <v>2023</v>
      </c>
      <c r="C162" s="8" t="s">
        <v>474</v>
      </c>
      <c r="D162" s="8" t="s">
        <v>560</v>
      </c>
      <c r="E162" s="8" t="s">
        <v>40</v>
      </c>
      <c r="F162" s="8" t="s">
        <v>20</v>
      </c>
      <c r="G162" s="8">
        <v>128</v>
      </c>
      <c r="H162" s="8">
        <v>144</v>
      </c>
      <c r="I162" s="8">
        <v>173</v>
      </c>
      <c r="J162" s="4"/>
      <c r="K162" s="8" t="s">
        <v>97</v>
      </c>
      <c r="L162" s="8" t="s">
        <v>97</v>
      </c>
      <c r="M162" s="8" t="s">
        <v>97</v>
      </c>
      <c r="N162" s="16" t="s">
        <v>563</v>
      </c>
      <c r="O162" s="10">
        <v>0.84305555555555556</v>
      </c>
      <c r="P162" s="8" t="s">
        <v>97</v>
      </c>
      <c r="Q162" s="8"/>
      <c r="R162" s="10">
        <v>0.84861111111111109</v>
      </c>
      <c r="S162" s="8"/>
      <c r="T162" s="8"/>
      <c r="U162" s="4"/>
    </row>
    <row r="163" spans="1:21" x14ac:dyDescent="0.45">
      <c r="A163" s="5">
        <v>44995</v>
      </c>
      <c r="B163" s="18">
        <v>2023</v>
      </c>
      <c r="C163" s="8" t="s">
        <v>474</v>
      </c>
      <c r="D163" s="8" t="s">
        <v>561</v>
      </c>
      <c r="E163" s="8" t="s">
        <v>40</v>
      </c>
      <c r="F163" s="8" t="s">
        <v>20</v>
      </c>
      <c r="G163" s="8">
        <v>107</v>
      </c>
      <c r="H163" s="8">
        <v>120</v>
      </c>
      <c r="I163" s="8">
        <v>135</v>
      </c>
      <c r="J163" s="4"/>
      <c r="K163" s="8" t="s">
        <v>97</v>
      </c>
      <c r="L163" s="8" t="s">
        <v>97</v>
      </c>
      <c r="M163" s="8" t="s">
        <v>97</v>
      </c>
      <c r="N163" s="16" t="s">
        <v>564</v>
      </c>
      <c r="O163" s="10">
        <v>0.8618055555555556</v>
      </c>
      <c r="P163" s="8" t="s">
        <v>97</v>
      </c>
      <c r="Q163" s="8"/>
      <c r="R163" s="10">
        <v>0.86597222222222225</v>
      </c>
      <c r="S163" s="8"/>
      <c r="T163" s="8"/>
      <c r="U163" s="4" t="s">
        <v>565</v>
      </c>
    </row>
    <row r="164" spans="1:21" x14ac:dyDescent="0.45">
      <c r="A164" s="5">
        <v>44996</v>
      </c>
      <c r="B164" s="18">
        <v>2023</v>
      </c>
      <c r="C164" s="8" t="s">
        <v>442</v>
      </c>
      <c r="D164" s="8" t="s">
        <v>577</v>
      </c>
      <c r="E164" s="8" t="s">
        <v>444</v>
      </c>
      <c r="F164" s="8" t="s">
        <v>20</v>
      </c>
      <c r="G164" s="8">
        <v>107</v>
      </c>
      <c r="H164" s="8">
        <v>119</v>
      </c>
      <c r="I164" s="8">
        <v>143</v>
      </c>
      <c r="J164" s="4"/>
      <c r="K164" s="8">
        <v>295</v>
      </c>
      <c r="L164" s="8">
        <v>1553269</v>
      </c>
      <c r="M164" s="8">
        <v>53912</v>
      </c>
      <c r="N164" s="16" t="s">
        <v>581</v>
      </c>
      <c r="O164" s="8" t="s">
        <v>97</v>
      </c>
      <c r="P164" s="10">
        <v>0.55694444444444446</v>
      </c>
      <c r="Q164" s="8"/>
      <c r="R164" s="10">
        <v>0.56388888888888888</v>
      </c>
      <c r="S164" s="4"/>
      <c r="T164" s="4"/>
      <c r="U164" s="4" t="s">
        <v>496</v>
      </c>
    </row>
    <row r="165" spans="1:21" x14ac:dyDescent="0.45">
      <c r="A165" s="5">
        <v>44996</v>
      </c>
      <c r="B165" s="18">
        <v>2023</v>
      </c>
      <c r="C165" s="8" t="s">
        <v>442</v>
      </c>
      <c r="D165" s="8" t="s">
        <v>578</v>
      </c>
      <c r="E165" s="8" t="s">
        <v>444</v>
      </c>
      <c r="F165" s="8" t="s">
        <v>20</v>
      </c>
      <c r="G165" s="8">
        <v>110</v>
      </c>
      <c r="H165" s="8">
        <v>121</v>
      </c>
      <c r="I165" s="8">
        <v>149</v>
      </c>
      <c r="J165" s="4"/>
      <c r="K165" s="8">
        <v>296</v>
      </c>
      <c r="L165" s="8">
        <v>1553270</v>
      </c>
      <c r="M165" s="8">
        <v>53913</v>
      </c>
      <c r="N165" s="16" t="s">
        <v>582</v>
      </c>
      <c r="O165" s="8" t="s">
        <v>97</v>
      </c>
      <c r="P165" s="10">
        <v>0.5854166666666667</v>
      </c>
      <c r="Q165" s="8"/>
      <c r="R165" s="10">
        <v>0.59027777777777779</v>
      </c>
      <c r="S165" s="4"/>
      <c r="T165" s="4"/>
      <c r="U165" s="4"/>
    </row>
    <row r="166" spans="1:21" x14ac:dyDescent="0.45">
      <c r="A166" s="5">
        <v>44996</v>
      </c>
      <c r="B166" s="18">
        <v>2023</v>
      </c>
      <c r="C166" s="8" t="s">
        <v>442</v>
      </c>
      <c r="D166" s="8" t="s">
        <v>579</v>
      </c>
      <c r="E166" s="8" t="s">
        <v>444</v>
      </c>
      <c r="F166" s="8" t="s">
        <v>20</v>
      </c>
      <c r="G166" s="8">
        <v>93.5</v>
      </c>
      <c r="H166" s="8">
        <v>103</v>
      </c>
      <c r="I166" s="8">
        <v>127</v>
      </c>
      <c r="J166" s="4"/>
      <c r="K166" s="8">
        <v>297</v>
      </c>
      <c r="L166" s="8">
        <v>1553271</v>
      </c>
      <c r="M166" s="8">
        <v>53914</v>
      </c>
      <c r="N166" s="16" t="s">
        <v>583</v>
      </c>
      <c r="O166" s="8" t="s">
        <v>97</v>
      </c>
      <c r="P166" s="10">
        <v>0.63402777777777775</v>
      </c>
      <c r="Q166" s="8"/>
      <c r="R166" s="10">
        <v>0.63958333333333328</v>
      </c>
      <c r="S166" s="4"/>
      <c r="T166" s="4"/>
      <c r="U166" s="4"/>
    </row>
    <row r="167" spans="1:21" x14ac:dyDescent="0.45">
      <c r="A167" s="5">
        <v>44996</v>
      </c>
      <c r="B167" s="18">
        <v>2023</v>
      </c>
      <c r="C167" s="8" t="s">
        <v>442</v>
      </c>
      <c r="D167" s="8" t="s">
        <v>580</v>
      </c>
      <c r="E167" s="8" t="s">
        <v>444</v>
      </c>
      <c r="F167" s="8" t="s">
        <v>20</v>
      </c>
      <c r="G167" s="8">
        <v>106</v>
      </c>
      <c r="H167" s="8">
        <v>117</v>
      </c>
      <c r="I167" s="8">
        <v>142</v>
      </c>
      <c r="J167" s="4"/>
      <c r="K167" s="8">
        <v>298</v>
      </c>
      <c r="L167" s="8">
        <v>1553272</v>
      </c>
      <c r="M167" s="8">
        <v>53915</v>
      </c>
      <c r="N167" s="16" t="s">
        <v>584</v>
      </c>
      <c r="O167" s="8" t="s">
        <v>97</v>
      </c>
      <c r="P167" s="10">
        <v>0.64097222222222217</v>
      </c>
      <c r="Q167" s="8"/>
      <c r="R167" s="10">
        <v>0.65</v>
      </c>
      <c r="S167" s="4"/>
      <c r="T167" s="4"/>
      <c r="U167" s="4" t="s">
        <v>587</v>
      </c>
    </row>
  </sheetData>
  <autoFilter ref="A1:U167" xr:uid="{46DA2CE0-3829-4BC3-909D-00FA5C014343}">
    <sortState xmlns:xlrd2="http://schemas.microsoft.com/office/spreadsheetml/2017/richdata2" ref="A2:U111">
      <sortCondition ref="A1:A111"/>
    </sortState>
  </autoFilter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Tiger sharks</vt:lpstr>
      <vt:lpstr>Dusky.Galap.sandbar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Meyer</dc:creator>
  <cp:lastModifiedBy>Charlie Huveneers</cp:lastModifiedBy>
  <dcterms:created xsi:type="dcterms:W3CDTF">2022-02-16T04:02:57Z</dcterms:created>
  <dcterms:modified xsi:type="dcterms:W3CDTF">2024-01-24T02:50:07Z</dcterms:modified>
</cp:coreProperties>
</file>